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sez-moi" sheetId="1" state="visible" r:id="rId3"/>
    <sheet name="Sommaire" sheetId="2" state="visible" r:id="rId4"/>
    <sheet name="Hypothèses" sheetId="3" state="visible" r:id="rId5"/>
    <sheet name="Prudent" sheetId="4" state="visible" r:id="rId6"/>
    <sheet name="Normal" sheetId="5" state="visible" r:id="rId7"/>
    <sheet name="Optimist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<sst xmlns="http://schemas.openxmlformats.org/spreadsheetml/2006/main" count="388" uniqueCount="189">
  <si>
    <t xml:space="preserve">DOGZIE UNIVERSE — Projections de revenus (ILLUSTRATIVES)</t>
  </si>
  <si>
    <t xml:space="preserve">Dogzie Universe (couche blockchain) + Dogzie Town (console PlayStation) + jeton Dogzy. Ancien nom : Family Universe.</t>
  </si>
  <si>
    <t xml:space="preserve">Comment lire ces chiffres</t>
  </si>
  <si>
    <t xml:space="preserve">• Ce sont des scénarios illustratifs pour discuter avec des investisseurs. Pas une prévision, pas une garantie, pas un audit.</t>
  </si>
  <si>
    <t xml:space="preserve">• Les contrats intelligents (DogzyToken, PontDogzy) sont rédigés, mais NON déployés et NON audités. Le jeton Dogzy n'est inscrit sur aucune plateforme d'échange.</t>
  </si>
  <si>
    <t xml:space="preserve">• Toute fonction blockchain exige : déploiement, audit de sécurité indépendant, validation juridique (AMF / ACVM) et validation des règles de Sony PlayStation.</t>
  </si>
  <si>
    <t xml:space="preserve">• Aucune valeur de jeton ni capitalisation n'est projetée. Les volets crypto sont modélisés en $ CA au moment de la vente (frais / prise de plateforme seulement).</t>
  </si>
  <si>
    <t xml:space="preserve">• Le capital recherché pour la Phase 2 (500 000 $ à 550 000 $ CA) est un INVESTISSEMENT, pas un revenu. Il n'est inclus dans aucun total.</t>
  </si>
  <si>
    <t xml:space="preserve">• An 1 = 12 premiers mois après le lancement commercial de Dogzie Town. Devise : $ CA partout.</t>
  </si>
  <si>
    <t xml:space="preserve">• « Revenu net » = après part PlayStation, commissions de galeries, coût de la marchandise et redevances influenceurs. AVANT salaires, serveurs, développement, marketing payé et impôts. Ce n'est pas un profit.</t>
  </si>
  <si>
    <t xml:space="preserve">Structure du classeur</t>
  </si>
  <si>
    <t xml:space="preserve">Hypothèses : toutes les hypothèses (cellules dorées = modifiables). Les feuilles de calcul se mettent à jour automatiquement.</t>
  </si>
  <si>
    <t xml:space="preserve">Prudent / Normal / Optimiste : calcul détaillé par volet et par année (formules).</t>
  </si>
  <si>
    <t xml:space="preserve">Sommaire : les 9 totaux (3 scénarios x An 1 / Cumul 3 ans / Cumul 5 ans) + annuel An 3 et An 5.</t>
  </si>
  <si>
    <t xml:space="preserve">Repères fournis par la fondatrice (contexte, non vérifiés)</t>
  </si>
  <si>
    <t xml:space="preserve">143 personnages · 46 bâtiments · 5 extensions · 7 collections jouables · 9 factions · ambiance luxe Dubaï / Saint-Martin</t>
  </si>
  <si>
    <t xml:space="preserve">Galerie Valkyrie : collection NFT mensuelle + toiles physiques · 23 expositions internationales · 14 curations · Singulart top 10 % (41 000 vues en ~4 mois) · 37 toiles dans le monde (affirmation de la fondatrice)</t>
  </si>
  <si>
    <t xml:space="preserve">Phase 1 : ~500 $ CA (abonnements) + temps investi (sweat equity) · Phase 2 recherchée : 500 000 $ à 550 000 $ CA</t>
  </si>
  <si>
    <t xml:space="preserve">Marketing : 5 influenceurs à 1 % de redevances à vie chacun (5 % au total)</t>
  </si>
  <si>
    <t xml:space="preserve">Économie : accessoires achetés UNIQUEMENT en Dogzy · jetons de mission exportables vers le portefeuille (ex. 500 000 jetons ↔ 5 Dogzy selon la valeur) · export seulement si le personnage existe dans Universe ET Town · autres achats possibles en BNB / autre crypto</t>
  </si>
  <si>
    <t xml:space="preserve">Volatilité crypto : la valeur en $ CA d'un montant en Dogzy, BNB ou AVAX peut varier fortement entre l'achat et la conversion. Les revenus encaissés en crypto ne sont pas garantis en $ CA.</t>
  </si>
  <si>
    <t xml:space="preserve">Sommaire — Dogzie Universe (illustratif, $ CA)</t>
  </si>
  <si>
    <t xml:space="preserve">Scénarios : Prudent · Normal · « Si le concept pogne vraiment » (Optimiste)</t>
  </si>
  <si>
    <t xml:space="preserve">Revenu BRUT total</t>
  </si>
  <si>
    <t xml:space="preserve">Scénario</t>
  </si>
  <si>
    <t xml:space="preserve">An 1</t>
  </si>
  <si>
    <t xml:space="preserve">Cumul 3 ans</t>
  </si>
  <si>
    <t xml:space="preserve">Cumul 5 ans</t>
  </si>
  <si>
    <t xml:space="preserve">An 3 (annuel)</t>
  </si>
  <si>
    <t xml:space="preserve">An 5 (annuel)</t>
  </si>
  <si>
    <t xml:space="preserve">Prudent</t>
  </si>
  <si>
    <t xml:space="preserve">Normal</t>
  </si>
  <si>
    <t xml:space="preserve">Optimiste (« si ça pogne vraiment »)</t>
  </si>
  <si>
    <t xml:space="preserve">Revenu NET pour l'entreprise (avant dépenses d'exploitation)</t>
  </si>
  <si>
    <t xml:space="preserve">Revenu brut cumulatif 5 ans par volet</t>
  </si>
  <si>
    <t xml:space="preserve">Volet</t>
  </si>
  <si>
    <t xml:space="preserve">Optimiste</t>
  </si>
  <si>
    <t xml:space="preserve">A. Console — Dogzie Town</t>
  </si>
  <si>
    <t xml:space="preserve">B. Blockchain — Dogzie Universe</t>
  </si>
  <si>
    <t xml:space="preserve">C. Art physique — Galerie Valkyrie</t>
  </si>
  <si>
    <t xml:space="preserve">D. Marchandise / marque</t>
  </si>
  <si>
    <t xml:space="preserve">E. Lieux thématiques (expansions)</t>
  </si>
  <si>
    <t xml:space="preserve">Joueurs actifs — An 1 / An 3 / An 5</t>
  </si>
  <si>
    <t xml:space="preserve">An 3</t>
  </si>
  <si>
    <t xml:space="preserve">An 5</t>
  </si>
  <si>
    <t xml:space="preserve">Capital Phase 2 recherché : 500 000 $ – 550 000 $ CA = investissement, exclu de tous les totaux.</t>
  </si>
  <si>
    <t xml:space="preserve">ILLUSTRATIF · non audité · pas une garantie · contrats non déployés ni audités · jeton Dogzy non inscrit.</t>
  </si>
  <si>
    <t xml:space="preserve">Hypothèses — modifiez les cellules dorées</t>
  </si>
  <si>
    <t xml:space="preserve">Hypothèse</t>
  </si>
  <si>
    <t xml:space="preserve">Unité</t>
  </si>
  <si>
    <t xml:space="preserve">Note</t>
  </si>
  <si>
    <t xml:space="preserve">1. Joueurs (Dogzie Town, console)</t>
  </si>
  <si>
    <t xml:space="preserve">Nouveaux joueurs (achats du jeu) — An 1</t>
  </si>
  <si>
    <t xml:space="preserve">joueurs</t>
  </si>
  <si>
    <t xml:space="preserve">Copies vendues dans l'année</t>
  </si>
  <si>
    <t xml:space="preserve">Nouveaux joueurs — An 2</t>
  </si>
  <si>
    <t xml:space="preserve">Nouveaux joueurs — An 3</t>
  </si>
  <si>
    <t xml:space="preserve">Nouveaux joueurs — An 4</t>
  </si>
  <si>
    <t xml:space="preserve">Nouveaux joueurs — An 5</t>
  </si>
  <si>
    <t xml:space="preserve">Rétention annuelle des joueurs actifs</t>
  </si>
  <si>
    <t xml:space="preserve">%</t>
  </si>
  <si>
    <t xml:space="preserve">Part des joueurs d'une année qui restent actifs l'année suivante</t>
  </si>
  <si>
    <t xml:space="preserve">2. Prix (identiques dans les 3 scénarios, $ CA)</t>
  </si>
  <si>
    <t xml:space="preserve">Prix moyen réalisé du jeu (après soldes)</t>
  </si>
  <si>
    <t xml:space="preserve">$</t>
  </si>
  <si>
    <t xml:space="preserve">Prix affiché visé ~29,99 $; soldes incluses</t>
  </si>
  <si>
    <t xml:space="preserve">Prix d'une extension (DLC)</t>
  </si>
  <si>
    <t xml:space="preserve">5 extensions prévues : 1 par année</t>
  </si>
  <si>
    <t xml:space="preserve">Extensions lancées par année</t>
  </si>
  <si>
    <t xml:space="preserve">nb</t>
  </si>
  <si>
    <t xml:space="preserve">Passe compétitive multijoueur (par année)</t>
  </si>
  <si>
    <t xml:space="preserve">Duel 2 joueurs, camps toujours opposés</t>
  </si>
  <si>
    <t xml:space="preserve">Dépense annuelle moyenne en accessoires (payée en Dogzy)</t>
  </si>
  <si>
    <t xml:space="preserve">Valeur en $ CA au moment de l'achat</t>
  </si>
  <si>
    <t xml:space="preserve">Prix moyen d'un NFT personnage</t>
  </si>
  <si>
    <t xml:space="preserve">143 personnages; éditions à définir</t>
  </si>
  <si>
    <t xml:space="preserve">Prix moyen d'un lot NFT bâtiment / carte</t>
  </si>
  <si>
    <t xml:space="preserve">46 bâtiments x 5 éditions = 230 lots de base</t>
  </si>
  <si>
    <t xml:space="preserve">Prix moyen d'une édition NFT Valkyrie (collection mensuelle)</t>
  </si>
  <si>
    <t xml:space="preserve">Prix moyen d'une toile physique</t>
  </si>
  <si>
    <t xml:space="preserve">À confirmer avec l'historique de ventes réel</t>
  </si>
  <si>
    <t xml:space="preserve">Panier moyen marchandise</t>
  </si>
  <si>
    <t xml:space="preserve">Passe NFT d'un lieu thématique (par lieu, par année)</t>
  </si>
  <si>
    <t xml:space="preserve">Croisière, événements sportifs, casino-lieu (sans jeu d'argent)</t>
  </si>
  <si>
    <t xml:space="preserve">3. Conversions et volumes (ce qui change d'un scénario à l'autre)</t>
  </si>
  <si>
    <t xml:space="preserve">Joueurs actifs qui achètent l'extension de l'année</t>
  </si>
  <si>
    <t xml:space="preserve">Joueurs actifs qui achètent la passe compétitive</t>
  </si>
  <si>
    <t xml:space="preserve">Joueurs actifs qui achètent des accessoires en Dogzy</t>
  </si>
  <si>
    <t xml:space="preserve">Exige un portefeuille : conversion volontairement basse</t>
  </si>
  <si>
    <t xml:space="preserve">Joueurs actifs qui achètent un NFT personnage dans l'année</t>
  </si>
  <si>
    <t xml:space="preserve">Acheteurs NFT venant du milieu crypto (hors joueurs) / an</t>
  </si>
  <si>
    <t xml:space="preserve">Lots NFT bâtiments / carte vendus par année</t>
  </si>
  <si>
    <t xml:space="preserve">Max 5 ans : 225 lots ≤ 230 de base</t>
  </si>
  <si>
    <t xml:space="preserve">Éditions Valkyrie vendues par collection mensuelle — An 1</t>
  </si>
  <si>
    <t xml:space="preserve">12 collections par année</t>
  </si>
  <si>
    <t xml:space="preserve">Croissance annuelle des éditions Valkyrie</t>
  </si>
  <si>
    <t xml:space="preserve">Toiles physiques vendues — An 1</t>
  </si>
  <si>
    <t xml:space="preserve">Repère fondatrice : 37 toiles dans le monde à ce jour</t>
  </si>
  <si>
    <t xml:space="preserve">Croissance annuelle des ventes de toiles</t>
  </si>
  <si>
    <t xml:space="preserve">Joueurs actifs qui achètent de la marchandise</t>
  </si>
  <si>
    <t xml:space="preserve">Joueurs actifs qui achètent la passe d'un lieu thématique</t>
  </si>
  <si>
    <t xml:space="preserve">Commandites par lieu thématique actif / an</t>
  </si>
  <si>
    <t xml:space="preserve">Revente secondaire annuelle (% de la valeur NFT primaire cumulée)</t>
  </si>
  <si>
    <t xml:space="preserve">Détenteurs (perso. dans Universe ET Town) qui exportent des jetons</t>
  </si>
  <si>
    <t xml:space="preserve">4. Taux, frais et déductions</t>
  </si>
  <si>
    <t xml:space="preserve">Redevance sur reventes NFT secondaires</t>
  </si>
  <si>
    <t xml:space="preserve">Valeur moyenne exportée par détenteur / an</t>
  </si>
  <si>
    <t xml:space="preserve">Ex. 500 000 jetons de jeu ↔ 5 Dogzy, selon la valeur</t>
  </si>
  <si>
    <t xml:space="preserve">Frais de plateforme sur l'export de jetons</t>
  </si>
  <si>
    <t xml:space="preserve">Revente pair-à-pair d'accessoires (% des ventes d'accessoires)</t>
  </si>
  <si>
    <t xml:space="preserve">Frais de plateforme sur revente d'accessoires</t>
  </si>
  <si>
    <t xml:space="preserve">Part PlayStation sur ventes numériques (jeu, DLC, passe)</t>
  </si>
  <si>
    <t xml:space="preserve">Commission moyenne galeries / plateformes sur toiles</t>
  </si>
  <si>
    <t xml:space="preserve">Mélange ventes directes et plateformes (ex. Singulart)</t>
  </si>
  <si>
    <t xml:space="preserve">Coût de production de la marchandise</t>
  </si>
  <si>
    <t xml:space="preserve">Impression sur demande</t>
  </si>
  <si>
    <t xml:space="preserve">Redevances influenceurs (5 x 1 % à vie)</t>
  </si>
  <si>
    <t xml:space="preserve">Appliquées au revenu BRUT total (hypothèse prudente)</t>
  </si>
  <si>
    <t xml:space="preserve">Lieux thématiques actifs par année (croisière An 3, sports An 4, casino-lieu NFT An 5 — aucun jeu d'argent)</t>
  </si>
  <si>
    <t xml:space="preserve">An 1 → An 5 (colonnes B à F)</t>
  </si>
  <si>
    <t xml:space="preserve">Hors revenus : capital Phase 2 recherché (investissement)</t>
  </si>
  <si>
    <t xml:space="preserve">$ min / max</t>
  </si>
  <si>
    <t xml:space="preserve">Scénario Prudent — calcul détaillé ($ CA)</t>
  </si>
  <si>
    <t xml:space="preserve">Poste</t>
  </si>
  <si>
    <t xml:space="preserve">Réf.</t>
  </si>
  <si>
    <t xml:space="preserve">An 2</t>
  </si>
  <si>
    <t xml:space="preserve">An 4</t>
  </si>
  <si>
    <t xml:space="preserve">Nouveaux joueurs</t>
  </si>
  <si>
    <t xml:space="preserve">new</t>
  </si>
  <si>
    <t xml:space="preserve">Joueurs actifs (année précédente x rétention + nouveaux)</t>
  </si>
  <si>
    <t xml:space="preserve">active</t>
  </si>
  <si>
    <t xml:space="preserve">A. CONSOLE — DOGZIE TOWN</t>
  </si>
  <si>
    <t xml:space="preserve">Ventes du jeu</t>
  </si>
  <si>
    <t xml:space="preserve">A1</t>
  </si>
  <si>
    <t xml:space="preserve">Extensions (DLC)</t>
  </si>
  <si>
    <t xml:space="preserve">A2</t>
  </si>
  <si>
    <t xml:space="preserve">Passe compétitive multijoueur</t>
  </si>
  <si>
    <t xml:space="preserve">A3</t>
  </si>
  <si>
    <t xml:space="preserve">Accessoires / cosmétiques (payés en Dogzy, valeur $ CA)</t>
  </si>
  <si>
    <t xml:space="preserve">A4</t>
  </si>
  <si>
    <t xml:space="preserve">Total A</t>
  </si>
  <si>
    <t xml:space="preserve">A</t>
  </si>
  <si>
    <t xml:space="preserve">B. BLOCKCHAIN — DOGZIE UNIVERSE</t>
  </si>
  <si>
    <t xml:space="preserve">  NFT personnages vendus (nb)</t>
  </si>
  <si>
    <t xml:space="preserve">B1m</t>
  </si>
  <si>
    <t xml:space="preserve">  Détenteurs cumulés (nb)</t>
  </si>
  <si>
    <t xml:space="preserve">hold</t>
  </si>
  <si>
    <t xml:space="preserve">NFT personnages</t>
  </si>
  <si>
    <t xml:space="preserve">B1</t>
  </si>
  <si>
    <t xml:space="preserve">NFT bâtiments / carte</t>
  </si>
  <si>
    <t xml:space="preserve">B2</t>
  </si>
  <si>
    <t xml:space="preserve">  Éditions Valkyrie par collection (nb)</t>
  </si>
  <si>
    <t xml:space="preserve">B3e</t>
  </si>
  <si>
    <t xml:space="preserve">Collections NFT mensuelles Valkyrie (12 / an)</t>
  </si>
  <si>
    <t xml:space="preserve">B3</t>
  </si>
  <si>
    <t xml:space="preserve">Redevances sur reventes secondaires</t>
  </si>
  <si>
    <t xml:space="preserve">B4</t>
  </si>
  <si>
    <t xml:space="preserve">Frais de plateforme (export de jetons + revente d'accessoires)</t>
  </si>
  <si>
    <t xml:space="preserve">B5</t>
  </si>
  <si>
    <t xml:space="preserve">Total B</t>
  </si>
  <si>
    <t xml:space="preserve">B</t>
  </si>
  <si>
    <t xml:space="preserve">C. ART PHYSIQUE — GALERIE VALKYRIE</t>
  </si>
  <si>
    <t xml:space="preserve">  Toiles vendues (nb)</t>
  </si>
  <si>
    <t xml:space="preserve">Cn</t>
  </si>
  <si>
    <t xml:space="preserve">Total C — Toiles physiques</t>
  </si>
  <si>
    <t xml:space="preserve">C</t>
  </si>
  <si>
    <t xml:space="preserve">D. MARCHANDISE / MARQUE</t>
  </si>
  <si>
    <t xml:space="preserve">Total D — Marchandise</t>
  </si>
  <si>
    <t xml:space="preserve">D</t>
  </si>
  <si>
    <t xml:space="preserve">E. LIEUX THÉMATIQUES (croisière, sports, casino-lieu NFT sans jeu d'argent)</t>
  </si>
  <si>
    <t xml:space="preserve">Total E — Passes NFT de lieux + commandites</t>
  </si>
  <si>
    <t xml:space="preserve">E</t>
  </si>
  <si>
    <t xml:space="preserve">TOTAUX</t>
  </si>
  <si>
    <t xml:space="preserve">REVENU BRUT TOTAL (A+B+C+D+E)</t>
  </si>
  <si>
    <t xml:space="preserve">gross</t>
  </si>
  <si>
    <t xml:space="preserve">− Part PlayStation (30 % sur jeu, DLC, passe)</t>
  </si>
  <si>
    <t xml:space="preserve">d_sony</t>
  </si>
  <si>
    <t xml:space="preserve">− Commissions galeries / plateformes (toiles)</t>
  </si>
  <si>
    <t xml:space="preserve">d_gal</t>
  </si>
  <si>
    <t xml:space="preserve">− Coût de production marchandise</t>
  </si>
  <si>
    <t xml:space="preserve">d_merch</t>
  </si>
  <si>
    <t xml:space="preserve">− Redevances influenceurs (5 % du brut)</t>
  </si>
  <si>
    <t xml:space="preserve">d_infl</t>
  </si>
  <si>
    <t xml:space="preserve">REVENU NET POUR L'ENTREPRISE (avant dépenses d'exploitation et impôts)</t>
  </si>
  <si>
    <t xml:space="preserve">net</t>
  </si>
  <si>
    <t xml:space="preserve">Le capital Phase 2 (500 000 $ – 550 000 $ CA) est un investissement : il n'apparaît dans aucune ligne de revenu.</t>
  </si>
  <si>
    <t xml:space="preserve">Illustratif, non audité, aucune garantie. Contrats rédigés, non déployés, non audités; jeton non inscrit.</t>
  </si>
  <si>
    <t xml:space="preserve">Scénario Normal — calcul détaillé ($ CA)</t>
  </si>
  <si>
    <t xml:space="preserve">Scénario Optimiste — calcul détaillé ($ CA)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</si>
</sst>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$&quot;;\-#,##0&quot; $&quot;"/>
    <numFmt numFmtId="166" formatCode="#,##0"/>
    <numFmt numFmtId="167" formatCode="0.0%"/>
    <numFmt numFmtId="168" formatCode="#,##0.00&quot; $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2BF57"/>
      <name val="Calibri"/>
      <family val="0"/>
      <charset val="1"/>
    </font>
    <font>
      <sz val="11"/>
      <color rgb="FFE8E0C8"/>
      <name val="Cambria"/>
      <family val="0"/>
      <charset val="1"/>
    </font>
    <font>
      <b val="true"/>
      <sz val="11"/>
      <color rgb="FFE2BF57"/>
      <name val="Cambria"/>
      <family val="0"/>
      <charset val="1"/>
    </font>
    <font>
      <i val="true"/>
      <sz val="9"/>
      <color rgb="FF9D937A"/>
      <name val="Cambria"/>
      <family val="0"/>
      <charset val="1"/>
    </font>
    <font>
      <b val="true"/>
      <sz val="11"/>
      <color rgb="FF0A0A0A"/>
      <name val="Cambria"/>
      <family val="0"/>
      <charset val="1"/>
    </font>
    <font>
      <b val="true"/>
      <sz val="11"/>
      <color rgb="FFF1E3B3"/>
      <name val="Cambria"/>
      <family val="0"/>
      <charset val="1"/>
    </font>
    <font>
      <sz val="11"/>
      <color rgb="FFF3D77A"/>
      <name val="Cambria"/>
      <family val="0"/>
      <charset val="1"/>
    </font>
    <font>
      <b val="true"/>
      <sz val="11"/>
      <color rgb="FFF3D77A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0905"/>
        <bgColor rgb="FF0A0A0A"/>
      </patternFill>
    </fill>
    <fill>
      <patternFill patternType="solid">
        <fgColor rgb="FFD4AF37"/>
        <bgColor rgb="FFE2BF57"/>
      </patternFill>
    </fill>
    <fill>
      <patternFill patternType="solid">
        <fgColor rgb="FF1A1508"/>
        <bgColor rgb="FF0A0A0A"/>
      </patternFill>
    </fill>
    <fill>
      <patternFill patternType="solid">
        <fgColor rgb="FF2A2108"/>
        <bgColor rgb="FF1A150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5A4A1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A0A"/>
      <rgbColor rgb="FF808000"/>
      <rgbColor rgb="FF800080"/>
      <rgbColor rgb="FF008080"/>
      <rgbColor rgb="FFC0C0C0"/>
      <rgbColor rgb="FF808080"/>
      <rgbColor rgb="FF9999FF"/>
      <rgbColor rgb="FF993366"/>
      <rgbColor rgb="FFF1E3B3"/>
      <rgbColor rgb="FFCCFFFF"/>
      <rgbColor rgb="FF660066"/>
      <rgbColor rgb="FFFF8080"/>
      <rgbColor rgb="FF0066CC"/>
      <rgbColor rgb="FFE8E0C8"/>
      <rgbColor rgb="FF0B0905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D77A"/>
      <rgbColor rgb="FF3366FF"/>
      <rgbColor rgb="FF33CCCC"/>
      <rgbColor rgb="FF99CC00"/>
      <rgbColor rgb="FFE2BF57"/>
      <rgbColor rgb="FFD4AF37"/>
      <rgbColor rgb="FFFF6600"/>
      <rgbColor rgb="FF666699"/>
      <rgbColor rgb="FF9D937A"/>
      <rgbColor rgb="FF003366"/>
      <rgbColor rgb="FF339966"/>
      <rgbColor rgb="FF1A1508"/>
      <rgbColor rgb="FF2A2108"/>
      <rgbColor rgb="FF993300"/>
      <rgbColor rgb="FF993366"/>
      <rgbColor rgb="FF333399"/>
      <rgbColor rgb="FF5A4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</cols>
  <sheetData>
    <row r="1" customFormat="false" ht="20.8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3"/>
      <c r="B3" s="2"/>
      <c r="C3" s="2"/>
    </row>
    <row r="4" customFormat="false" ht="15" hidden="false" customHeight="false" outlineLevel="0" collapsed="false">
      <c r="A4" s="4" t="s">
        <v>2</v>
      </c>
      <c r="B4" s="2"/>
      <c r="C4" s="2"/>
    </row>
    <row r="5" customFormat="false" ht="15" hidden="false" customHeight="false" outlineLevel="0" collapsed="false">
      <c r="A5" s="3" t="s">
        <v>3</v>
      </c>
      <c r="B5" s="2"/>
      <c r="C5" s="2"/>
    </row>
    <row r="6" customFormat="false" ht="15" hidden="false" customHeight="false" outlineLevel="0" collapsed="false">
      <c r="A6" s="3" t="s">
        <v>4</v>
      </c>
      <c r="B6" s="2"/>
      <c r="C6" s="2"/>
    </row>
    <row r="7" customFormat="false" ht="15" hidden="false" customHeight="false" outlineLevel="0" collapsed="false">
      <c r="A7" s="3" t="s">
        <v>5</v>
      </c>
      <c r="B7" s="2"/>
      <c r="C7" s="2"/>
    </row>
    <row r="8" customFormat="false" ht="15" hidden="false" customHeight="false" outlineLevel="0" collapsed="false">
      <c r="A8" s="3" t="s">
        <v>6</v>
      </c>
      <c r="B8" s="2"/>
      <c r="C8" s="2"/>
    </row>
    <row r="9" customFormat="false" ht="15" hidden="false" customHeight="false" outlineLevel="0" collapsed="false">
      <c r="A9" s="3" t="s">
        <v>7</v>
      </c>
      <c r="B9" s="2"/>
      <c r="C9" s="2"/>
    </row>
    <row r="10" customFormat="false" ht="15" hidden="false" customHeight="false" outlineLevel="0" collapsed="false">
      <c r="A10" s="3" t="s">
        <v>8</v>
      </c>
      <c r="B10" s="2"/>
      <c r="C10" s="2"/>
    </row>
    <row r="11" customFormat="false" ht="28.35" hidden="false" customHeight="false" outlineLevel="0" collapsed="false">
      <c r="A11" s="3" t="s">
        <v>9</v>
      </c>
      <c r="B11" s="2"/>
      <c r="C11" s="2"/>
    </row>
    <row r="12" customFormat="false" ht="15" hidden="false" customHeight="false" outlineLevel="0" collapsed="false">
      <c r="A12" s="3"/>
      <c r="B12" s="2"/>
      <c r="C12" s="2"/>
    </row>
    <row r="13" customFormat="false" ht="15" hidden="false" customHeight="false" outlineLevel="0" collapsed="false">
      <c r="A13" s="4" t="s">
        <v>10</v>
      </c>
      <c r="B13" s="2"/>
      <c r="C13" s="2"/>
    </row>
    <row r="14" customFormat="false" ht="15" hidden="false" customHeight="false" outlineLevel="0" collapsed="false">
      <c r="A14" s="3" t="s">
        <v>11</v>
      </c>
      <c r="B14" s="2"/>
      <c r="C14" s="2"/>
    </row>
    <row r="15" customFormat="false" ht="15" hidden="false" customHeight="false" outlineLevel="0" collapsed="false">
      <c r="A15" s="3" t="s">
        <v>12</v>
      </c>
      <c r="B15" s="2"/>
      <c r="C15" s="2"/>
    </row>
    <row r="16" customFormat="false" ht="15" hidden="false" customHeight="false" outlineLevel="0" collapsed="false">
      <c r="A16" s="3" t="s">
        <v>13</v>
      </c>
      <c r="B16" s="2"/>
      <c r="C16" s="2"/>
    </row>
    <row r="17" customFormat="false" ht="15" hidden="false" customHeight="false" outlineLevel="0" collapsed="false">
      <c r="A17" s="3"/>
      <c r="B17" s="2"/>
      <c r="C17" s="2"/>
    </row>
    <row r="18" customFormat="false" ht="15" hidden="false" customHeight="false" outlineLevel="0" collapsed="false">
      <c r="A18" s="4" t="s">
        <v>14</v>
      </c>
      <c r="B18" s="2"/>
      <c r="C18" s="2"/>
    </row>
    <row r="19" customFormat="false" ht="15" hidden="false" customHeight="false" outlineLevel="0" collapsed="false">
      <c r="A19" s="3" t="s">
        <v>15</v>
      </c>
      <c r="B19" s="2"/>
      <c r="C19" s="2"/>
    </row>
    <row r="20" customFormat="false" ht="28.35" hidden="false" customHeight="false" outlineLevel="0" collapsed="false">
      <c r="A20" s="3" t="s">
        <v>16</v>
      </c>
      <c r="B20" s="2"/>
      <c r="C20" s="2"/>
    </row>
    <row r="21" customFormat="false" ht="15" hidden="false" customHeight="false" outlineLevel="0" collapsed="false">
      <c r="A21" s="3" t="s">
        <v>17</v>
      </c>
      <c r="B21" s="2"/>
      <c r="C21" s="2"/>
    </row>
    <row r="22" customFormat="false" ht="15" hidden="false" customHeight="false" outlineLevel="0" collapsed="false">
      <c r="A22" s="3" t="s">
        <v>18</v>
      </c>
      <c r="B22" s="2"/>
      <c r="C22" s="2"/>
    </row>
    <row r="23" customFormat="false" ht="28.35" hidden="false" customHeight="false" outlineLevel="0" collapsed="false">
      <c r="A23" s="3" t="s">
        <v>19</v>
      </c>
      <c r="B23" s="2"/>
      <c r="C23" s="2"/>
    </row>
    <row r="24" customFormat="false" ht="15" hidden="false" customHeight="false" outlineLevel="0" collapsed="false">
      <c r="A24" s="5" t="s">
        <v>20</v>
      </c>
      <c r="B24" s="2"/>
      <c r="C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7"/>
  </cols>
  <sheetData>
    <row r="1" customFormat="false" ht="19.7" hidden="false" customHeight="false" outlineLevel="0" collapsed="false">
      <c r="A1" s="6" t="s">
        <v>21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7" t="s">
        <v>22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8" t="s">
        <v>23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9" t="s">
        <v>29</v>
      </c>
    </row>
    <row r="6" customFormat="false" ht="15" hidden="false" customHeight="false" outlineLevel="0" collapsed="false">
      <c r="A6" s="10" t="s">
        <v>30</v>
      </c>
      <c r="B6" s="11" t="n">
        <f aca="false">Prudent!C30</f>
        <v>128482.2</v>
      </c>
      <c r="C6" s="11" t="n">
        <f aca="false">Prudent!H30</f>
        <v>493500.3310625</v>
      </c>
      <c r="D6" s="11" t="n">
        <f aca="false">Prudent!I30</f>
        <v>947675.127680156</v>
      </c>
      <c r="E6" s="11" t="n">
        <f aca="false">Prudent!E30</f>
        <v>200650.1173125</v>
      </c>
      <c r="F6" s="11" t="n">
        <f aca="false">Prudent!G30</f>
        <v>246156.754308281</v>
      </c>
    </row>
    <row r="7" customFormat="false" ht="15" hidden="false" customHeight="false" outlineLevel="0" collapsed="false">
      <c r="A7" s="10" t="s">
        <v>31</v>
      </c>
      <c r="B7" s="11" t="n">
        <f aca="false">Normal!C30</f>
        <v>571159.5</v>
      </c>
      <c r="C7" s="11" t="n">
        <f aca="false">Normal!H30</f>
        <v>2629619.48125</v>
      </c>
      <c r="D7" s="11" t="n">
        <f aca="false">Normal!I30</f>
        <v>5829127.73995313</v>
      </c>
      <c r="E7" s="11" t="n">
        <f aca="false">Normal!E30</f>
        <v>1202091.85625</v>
      </c>
      <c r="F7" s="11" t="n">
        <f aca="false">Normal!G30</f>
        <v>1733850.37339063</v>
      </c>
    </row>
    <row r="8" customFormat="false" ht="15" hidden="false" customHeight="false" outlineLevel="0" collapsed="false">
      <c r="A8" s="10" t="s">
        <v>32</v>
      </c>
      <c r="B8" s="11" t="n">
        <f aca="false">Optimiste!C30</f>
        <v>2331292.5</v>
      </c>
      <c r="C8" s="11" t="n">
        <f aca="false">Optimiste!H30</f>
        <v>13931631.6</v>
      </c>
      <c r="D8" s="11" t="n">
        <f aca="false">Optimiste!I30</f>
        <v>35121924.6065</v>
      </c>
      <c r="E8" s="11" t="n">
        <f aca="false">Optimiste!E30</f>
        <v>7077564.1</v>
      </c>
      <c r="F8" s="11" t="n">
        <f aca="false">Optimiste!G30</f>
        <v>11685201.1765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8" t="s">
        <v>33</v>
      </c>
      <c r="B10" s="2"/>
      <c r="C10" s="2"/>
      <c r="D10" s="2"/>
      <c r="E10" s="2"/>
      <c r="F10" s="2"/>
    </row>
    <row r="11" customFormat="false" ht="15" hidden="false" customHeight="false" outlineLevel="0" collapsed="false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28</v>
      </c>
      <c r="F11" s="9" t="s">
        <v>29</v>
      </c>
    </row>
    <row r="12" customFormat="false" ht="15" hidden="false" customHeight="false" outlineLevel="0" collapsed="false">
      <c r="A12" s="10" t="s">
        <v>30</v>
      </c>
      <c r="B12" s="11" t="n">
        <f aca="false">Prudent!C35</f>
        <v>92842.71</v>
      </c>
      <c r="C12" s="11" t="n">
        <f aca="false">Prudent!H35</f>
        <v>353024.730959375</v>
      </c>
      <c r="D12" s="11" t="n">
        <f aca="false">Prudent!I35</f>
        <v>677599.247811273</v>
      </c>
      <c r="E12" s="11" t="n">
        <f aca="false">Prudent!E35</f>
        <v>142714.780896875</v>
      </c>
      <c r="F12" s="11" t="n">
        <f aca="false">Prudent!G35</f>
        <v>175755.917350492</v>
      </c>
    </row>
    <row r="13" customFormat="false" ht="15" hidden="false" customHeight="false" outlineLevel="0" collapsed="false">
      <c r="A13" s="10" t="s">
        <v>31</v>
      </c>
      <c r="B13" s="11" t="n">
        <f aca="false">Normal!C35</f>
        <v>402050.475</v>
      </c>
      <c r="C13" s="11" t="n">
        <f aca="false">Normal!H35</f>
        <v>1851929.0015625</v>
      </c>
      <c r="D13" s="11" t="n">
        <f aca="false">Normal!I35</f>
        <v>4144762.49756641</v>
      </c>
      <c r="E13" s="11" t="n">
        <f aca="false">Normal!E35</f>
        <v>849038.5703125</v>
      </c>
      <c r="F13" s="11" t="n">
        <f aca="false">Normal!G35</f>
        <v>1247418.36686328</v>
      </c>
    </row>
    <row r="14" customFormat="false" ht="15" hidden="false" customHeight="false" outlineLevel="0" collapsed="false">
      <c r="A14" s="10" t="s">
        <v>32</v>
      </c>
      <c r="B14" s="11" t="n">
        <f aca="false">Optimiste!C35</f>
        <v>1634488.875</v>
      </c>
      <c r="C14" s="11" t="n">
        <f aca="false">Optimiste!H35</f>
        <v>9848668.7475</v>
      </c>
      <c r="D14" s="11" t="n">
        <f aca="false">Optimiste!I35</f>
        <v>25247614.9662437</v>
      </c>
      <c r="E14" s="11" t="n">
        <f aca="false">Optimiste!E35</f>
        <v>5037970.5725</v>
      </c>
      <c r="F14" s="11" t="n">
        <f aca="false">Optimiste!G35</f>
        <v>8540563.90761875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8" t="s">
        <v>34</v>
      </c>
      <c r="B16" s="2"/>
      <c r="C16" s="2"/>
      <c r="D16" s="2"/>
      <c r="E16" s="2"/>
      <c r="F16" s="2"/>
    </row>
    <row r="17" customFormat="false" ht="15" hidden="false" customHeight="false" outlineLevel="0" collapsed="false">
      <c r="A17" s="9" t="s">
        <v>35</v>
      </c>
      <c r="B17" s="9" t="s">
        <v>30</v>
      </c>
      <c r="C17" s="9" t="s">
        <v>31</v>
      </c>
      <c r="D17" s="9" t="s">
        <v>36</v>
      </c>
      <c r="E17" s="2"/>
      <c r="F17" s="2"/>
    </row>
    <row r="18" customFormat="false" ht="15" hidden="false" customHeight="false" outlineLevel="0" collapsed="false">
      <c r="A18" s="2" t="s">
        <v>37</v>
      </c>
      <c r="B18" s="12" t="n">
        <f aca="false">Prudent!I11</f>
        <v>655934.60224125</v>
      </c>
      <c r="C18" s="12" t="n">
        <f aca="false">Normal!I11</f>
        <v>4530014.25754688</v>
      </c>
      <c r="D18" s="12" t="n">
        <f aca="false">Optimiste!I11</f>
        <v>27638290.6664375</v>
      </c>
      <c r="E18" s="2"/>
      <c r="F18" s="2"/>
    </row>
    <row r="19" customFormat="false" ht="15" hidden="false" customHeight="false" outlineLevel="0" collapsed="false">
      <c r="A19" s="2" t="s">
        <v>38</v>
      </c>
      <c r="B19" s="12" t="n">
        <f aca="false">Prudent!I21</f>
        <v>176596.434438906</v>
      </c>
      <c r="C19" s="12" t="n">
        <f aca="false">Normal!I21</f>
        <v>727690.53240625</v>
      </c>
      <c r="D19" s="12" t="n">
        <f aca="false">Optimiste!I21</f>
        <v>3911842.2800625</v>
      </c>
      <c r="E19" s="2"/>
      <c r="F19" s="2"/>
    </row>
    <row r="20" customFormat="false" ht="15" hidden="false" customHeight="false" outlineLevel="0" collapsed="false">
      <c r="A20" s="2" t="s">
        <v>39</v>
      </c>
      <c r="B20" s="12" t="n">
        <f aca="false">Prudent!I24</f>
        <v>91500</v>
      </c>
      <c r="C20" s="12" t="n">
        <f aca="false">Normal!I24</f>
        <v>181500</v>
      </c>
      <c r="D20" s="12" t="n">
        <f aca="false">Optimiste!I24</f>
        <v>370500</v>
      </c>
      <c r="E20" s="2"/>
      <c r="F20" s="2"/>
    </row>
    <row r="21" customFormat="false" ht="15" hidden="false" customHeight="false" outlineLevel="0" collapsed="false">
      <c r="A21" s="2" t="s">
        <v>40</v>
      </c>
      <c r="B21" s="12" t="n">
        <f aca="false">Prudent!I26</f>
        <v>12306.0575</v>
      </c>
      <c r="C21" s="12" t="n">
        <f aca="false">Normal!I26</f>
        <v>164363.375</v>
      </c>
      <c r="D21" s="12" t="n">
        <f aca="false">Optimiste!I26</f>
        <v>1422118.95</v>
      </c>
      <c r="E21" s="2"/>
      <c r="F21" s="2"/>
    </row>
    <row r="22" customFormat="false" ht="15" hidden="false" customHeight="false" outlineLevel="0" collapsed="false">
      <c r="A22" s="2" t="s">
        <v>41</v>
      </c>
      <c r="B22" s="12" t="n">
        <f aca="false">Prudent!I28</f>
        <v>11338.0335</v>
      </c>
      <c r="C22" s="12" t="n">
        <f aca="false">Normal!I28</f>
        <v>225559.575</v>
      </c>
      <c r="D22" s="12" t="n">
        <f aca="false">Optimiste!I28</f>
        <v>1779172.71</v>
      </c>
      <c r="E22" s="2"/>
      <c r="F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15" hidden="false" customHeight="false" outlineLevel="0" collapsed="false">
      <c r="A24" s="8" t="s">
        <v>42</v>
      </c>
      <c r="B24" s="2"/>
      <c r="C24" s="2"/>
      <c r="D24" s="2"/>
      <c r="E24" s="2"/>
      <c r="F24" s="2"/>
    </row>
    <row r="25" customFormat="false" ht="15" hidden="false" customHeight="false" outlineLevel="0" collapsed="false">
      <c r="A25" s="9" t="s">
        <v>24</v>
      </c>
      <c r="B25" s="9" t="s">
        <v>25</v>
      </c>
      <c r="C25" s="9" t="s">
        <v>43</v>
      </c>
      <c r="D25" s="9" t="s">
        <v>44</v>
      </c>
      <c r="E25" s="2"/>
      <c r="F25" s="2"/>
    </row>
    <row r="26" customFormat="false" ht="15" hidden="false" customHeight="false" outlineLevel="0" collapsed="false">
      <c r="A26" s="2" t="s">
        <v>30</v>
      </c>
      <c r="B26" s="13" t="n">
        <f aca="false">Prudent!C5</f>
        <v>3000</v>
      </c>
      <c r="C26" s="13" t="n">
        <f aca="false">Prudent!E5</f>
        <v>6767.5</v>
      </c>
      <c r="D26" s="13" t="n">
        <f aca="false">Prudent!G5</f>
        <v>8579.01875</v>
      </c>
      <c r="E26" s="2"/>
      <c r="F26" s="2"/>
    </row>
    <row r="27" customFormat="false" ht="15" hidden="false" customHeight="false" outlineLevel="0" collapsed="false">
      <c r="A27" s="2" t="s">
        <v>31</v>
      </c>
      <c r="B27" s="13" t="n">
        <f aca="false">Normal!C5</f>
        <v>15000</v>
      </c>
      <c r="C27" s="13" t="n">
        <f aca="false">Normal!E5</f>
        <v>42937.5</v>
      </c>
      <c r="D27" s="13" t="n">
        <f aca="false">Normal!G5</f>
        <v>64444.84375</v>
      </c>
      <c r="E27" s="2"/>
      <c r="F27" s="2"/>
    </row>
    <row r="28" customFormat="false" ht="15" hidden="false" customHeight="false" outlineLevel="0" collapsed="false">
      <c r="A28" s="2" t="s">
        <v>36</v>
      </c>
      <c r="B28" s="13" t="n">
        <f aca="false">Optimiste!C5</f>
        <v>60000</v>
      </c>
      <c r="C28" s="13" t="n">
        <f aca="false">Optimiste!E5</f>
        <v>238650</v>
      </c>
      <c r="D28" s="13" t="n">
        <f aca="false">Optimiste!G5</f>
        <v>412191.625</v>
      </c>
      <c r="E28" s="2"/>
      <c r="F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</row>
    <row r="30" customFormat="false" ht="15" hidden="false" customHeight="false" outlineLevel="0" collapsed="false">
      <c r="A30" s="7" t="s">
        <v>45</v>
      </c>
      <c r="B30" s="2"/>
      <c r="C30" s="2"/>
      <c r="D30" s="2"/>
      <c r="E30" s="2"/>
      <c r="F30" s="2"/>
    </row>
    <row r="31" customFormat="false" ht="15" hidden="false" customHeight="false" outlineLevel="0" collapsed="false">
      <c r="A31" s="7" t="s">
        <v>46</v>
      </c>
      <c r="B31" s="2"/>
      <c r="C31" s="2"/>
      <c r="D31" s="2"/>
      <c r="E31" s="2"/>
      <c r="F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6" t="s">
        <v>47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9" t="s">
        <v>48</v>
      </c>
      <c r="B3" s="9" t="s">
        <v>49</v>
      </c>
      <c r="C3" s="9" t="s">
        <v>30</v>
      </c>
      <c r="D3" s="9" t="s">
        <v>31</v>
      </c>
      <c r="E3" s="9" t="s">
        <v>36</v>
      </c>
      <c r="F3" s="9" t="s">
        <v>50</v>
      </c>
    </row>
    <row r="4" customFormat="false" ht="15" hidden="false" customHeight="false" outlineLevel="0" collapsed="false">
      <c r="A4" s="14" t="s">
        <v>51</v>
      </c>
      <c r="B4" s="15"/>
      <c r="C4" s="15"/>
      <c r="D4" s="15"/>
      <c r="E4" s="15"/>
      <c r="F4" s="15"/>
    </row>
    <row r="5" customFormat="false" ht="15" hidden="false" customHeight="false" outlineLevel="0" collapsed="false">
      <c r="A5" s="2" t="s">
        <v>52</v>
      </c>
      <c r="B5" s="2" t="s">
        <v>53</v>
      </c>
      <c r="C5" s="16" t="n">
        <v>3000</v>
      </c>
      <c r="D5" s="16" t="n">
        <v>15000</v>
      </c>
      <c r="E5" s="16" t="n">
        <v>60000</v>
      </c>
      <c r="F5" s="7" t="s">
        <v>54</v>
      </c>
    </row>
    <row r="6" customFormat="false" ht="15" hidden="false" customHeight="false" outlineLevel="0" collapsed="false">
      <c r="A6" s="2" t="s">
        <v>55</v>
      </c>
      <c r="B6" s="2" t="s">
        <v>53</v>
      </c>
      <c r="C6" s="16" t="n">
        <v>4000</v>
      </c>
      <c r="D6" s="16" t="n">
        <v>22000</v>
      </c>
      <c r="E6" s="16" t="n">
        <v>110000</v>
      </c>
      <c r="F6" s="7"/>
    </row>
    <row r="7" customFormat="false" ht="15" hidden="false" customHeight="false" outlineLevel="0" collapsed="false">
      <c r="A7" s="2" t="s">
        <v>56</v>
      </c>
      <c r="B7" s="2" t="s">
        <v>53</v>
      </c>
      <c r="C7" s="16" t="n">
        <v>5000</v>
      </c>
      <c r="D7" s="16" t="n">
        <v>30000</v>
      </c>
      <c r="E7" s="16" t="n">
        <v>160000</v>
      </c>
      <c r="F7" s="7"/>
    </row>
    <row r="8" customFormat="false" ht="15" hidden="false" customHeight="false" outlineLevel="0" collapsed="false">
      <c r="A8" s="2" t="s">
        <v>57</v>
      </c>
      <c r="B8" s="2" t="s">
        <v>53</v>
      </c>
      <c r="C8" s="16" t="n">
        <v>5000</v>
      </c>
      <c r="D8" s="16" t="n">
        <v>35000</v>
      </c>
      <c r="E8" s="16" t="n">
        <v>200000</v>
      </c>
      <c r="F8" s="7"/>
    </row>
    <row r="9" customFormat="false" ht="15" hidden="false" customHeight="false" outlineLevel="0" collapsed="false">
      <c r="A9" s="2" t="s">
        <v>58</v>
      </c>
      <c r="B9" s="2" t="s">
        <v>53</v>
      </c>
      <c r="C9" s="16" t="n">
        <v>6000</v>
      </c>
      <c r="D9" s="16" t="n">
        <v>40000</v>
      </c>
      <c r="E9" s="16" t="n">
        <v>230000</v>
      </c>
      <c r="F9" s="7"/>
    </row>
    <row r="10" customFormat="false" ht="15" hidden="false" customHeight="false" outlineLevel="0" collapsed="false">
      <c r="A10" s="2" t="s">
        <v>59</v>
      </c>
      <c r="B10" s="2" t="s">
        <v>60</v>
      </c>
      <c r="C10" s="17" t="n">
        <v>0.35</v>
      </c>
      <c r="D10" s="17" t="n">
        <v>0.45</v>
      </c>
      <c r="E10" s="17" t="n">
        <v>0.55</v>
      </c>
      <c r="F10" s="7" t="s">
        <v>61</v>
      </c>
    </row>
    <row r="11" customFormat="false" ht="15" hidden="false" customHeight="false" outlineLevel="0" collapsed="false">
      <c r="A11" s="14" t="s">
        <v>62</v>
      </c>
      <c r="B11" s="15"/>
      <c r="C11" s="15"/>
      <c r="D11" s="15"/>
      <c r="E11" s="15"/>
      <c r="F11" s="15"/>
    </row>
    <row r="12" customFormat="false" ht="15" hidden="false" customHeight="false" outlineLevel="0" collapsed="false">
      <c r="A12" s="2" t="s">
        <v>63</v>
      </c>
      <c r="B12" s="2" t="s">
        <v>64</v>
      </c>
      <c r="C12" s="18" t="n">
        <v>24.99</v>
      </c>
      <c r="D12" s="18" t="n">
        <v>24.99</v>
      </c>
      <c r="E12" s="18" t="n">
        <v>24.99</v>
      </c>
      <c r="F12" s="7" t="s">
        <v>65</v>
      </c>
    </row>
    <row r="13" customFormat="false" ht="15" hidden="false" customHeight="false" outlineLevel="0" collapsed="false">
      <c r="A13" s="2" t="s">
        <v>66</v>
      </c>
      <c r="B13" s="2" t="s">
        <v>64</v>
      </c>
      <c r="C13" s="18" t="n">
        <v>9.99</v>
      </c>
      <c r="D13" s="18" t="n">
        <v>9.99</v>
      </c>
      <c r="E13" s="18" t="n">
        <v>9.99</v>
      </c>
      <c r="F13" s="7" t="s">
        <v>67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16" t="n">
        <v>1</v>
      </c>
      <c r="D14" s="16" t="n">
        <v>1</v>
      </c>
      <c r="E14" s="16" t="n">
        <v>1</v>
      </c>
      <c r="F14" s="7"/>
    </row>
    <row r="15" customFormat="false" ht="15" hidden="false" customHeight="false" outlineLevel="0" collapsed="false">
      <c r="A15" s="2" t="s">
        <v>70</v>
      </c>
      <c r="B15" s="2" t="s">
        <v>64</v>
      </c>
      <c r="C15" s="18" t="n">
        <v>7.99</v>
      </c>
      <c r="D15" s="18" t="n">
        <v>7.99</v>
      </c>
      <c r="E15" s="18" t="n">
        <v>7.99</v>
      </c>
      <c r="F15" s="7" t="s">
        <v>71</v>
      </c>
    </row>
    <row r="16" customFormat="false" ht="15" hidden="false" customHeight="false" outlineLevel="0" collapsed="false">
      <c r="A16" s="2" t="s">
        <v>72</v>
      </c>
      <c r="B16" s="2" t="s">
        <v>64</v>
      </c>
      <c r="C16" s="19" t="n">
        <v>30</v>
      </c>
      <c r="D16" s="19" t="n">
        <v>30</v>
      </c>
      <c r="E16" s="19" t="n">
        <v>30</v>
      </c>
      <c r="F16" s="7" t="s">
        <v>73</v>
      </c>
    </row>
    <row r="17" customFormat="false" ht="15" hidden="false" customHeight="false" outlineLevel="0" collapsed="false">
      <c r="A17" s="2" t="s">
        <v>74</v>
      </c>
      <c r="B17" s="2" t="s">
        <v>64</v>
      </c>
      <c r="C17" s="19" t="n">
        <v>75</v>
      </c>
      <c r="D17" s="19" t="n">
        <v>75</v>
      </c>
      <c r="E17" s="19" t="n">
        <v>75</v>
      </c>
      <c r="F17" s="7" t="s">
        <v>75</v>
      </c>
    </row>
    <row r="18" customFormat="false" ht="15" hidden="false" customHeight="false" outlineLevel="0" collapsed="false">
      <c r="A18" s="2" t="s">
        <v>76</v>
      </c>
      <c r="B18" s="2" t="s">
        <v>64</v>
      </c>
      <c r="C18" s="19" t="n">
        <v>350</v>
      </c>
      <c r="D18" s="19" t="n">
        <v>350</v>
      </c>
      <c r="E18" s="19" t="n">
        <v>350</v>
      </c>
      <c r="F18" s="7" t="s">
        <v>77</v>
      </c>
    </row>
    <row r="19" customFormat="false" ht="15" hidden="false" customHeight="false" outlineLevel="0" collapsed="false">
      <c r="A19" s="2" t="s">
        <v>78</v>
      </c>
      <c r="B19" s="2" t="s">
        <v>64</v>
      </c>
      <c r="C19" s="19" t="n">
        <v>100</v>
      </c>
      <c r="D19" s="19" t="n">
        <v>100</v>
      </c>
      <c r="E19" s="19" t="n">
        <v>100</v>
      </c>
      <c r="F19" s="7"/>
    </row>
    <row r="20" customFormat="false" ht="15" hidden="false" customHeight="false" outlineLevel="0" collapsed="false">
      <c r="A20" s="2" t="s">
        <v>79</v>
      </c>
      <c r="B20" s="2" t="s">
        <v>64</v>
      </c>
      <c r="C20" s="19" t="n">
        <v>1500</v>
      </c>
      <c r="D20" s="19" t="n">
        <v>1500</v>
      </c>
      <c r="E20" s="19" t="n">
        <v>1500</v>
      </c>
      <c r="F20" s="7" t="s">
        <v>80</v>
      </c>
    </row>
    <row r="21" customFormat="false" ht="15" hidden="false" customHeight="false" outlineLevel="0" collapsed="false">
      <c r="A21" s="2" t="s">
        <v>81</v>
      </c>
      <c r="B21" s="2" t="s">
        <v>64</v>
      </c>
      <c r="C21" s="19" t="n">
        <v>40</v>
      </c>
      <c r="D21" s="19" t="n">
        <v>40</v>
      </c>
      <c r="E21" s="19" t="n">
        <v>40</v>
      </c>
      <c r="F21" s="7"/>
    </row>
    <row r="22" customFormat="false" ht="15" hidden="false" customHeight="false" outlineLevel="0" collapsed="false">
      <c r="A22" s="2" t="s">
        <v>82</v>
      </c>
      <c r="B22" s="2" t="s">
        <v>64</v>
      </c>
      <c r="C22" s="19" t="n">
        <v>12</v>
      </c>
      <c r="D22" s="19" t="n">
        <v>12</v>
      </c>
      <c r="E22" s="19" t="n">
        <v>12</v>
      </c>
      <c r="F22" s="7" t="s">
        <v>83</v>
      </c>
    </row>
    <row r="23" customFormat="false" ht="15" hidden="false" customHeight="false" outlineLevel="0" collapsed="false">
      <c r="A23" s="14" t="s">
        <v>84</v>
      </c>
      <c r="B23" s="15"/>
      <c r="C23" s="15"/>
      <c r="D23" s="15"/>
      <c r="E23" s="15"/>
      <c r="F23" s="15"/>
    </row>
    <row r="24" customFormat="false" ht="15" hidden="false" customHeight="false" outlineLevel="0" collapsed="false">
      <c r="A24" s="2" t="s">
        <v>85</v>
      </c>
      <c r="B24" s="2" t="s">
        <v>60</v>
      </c>
      <c r="C24" s="17" t="n">
        <v>0.15</v>
      </c>
      <c r="D24" s="17" t="n">
        <v>0.25</v>
      </c>
      <c r="E24" s="17" t="n">
        <v>0.35</v>
      </c>
      <c r="F24" s="7"/>
    </row>
    <row r="25" customFormat="false" ht="15" hidden="false" customHeight="false" outlineLevel="0" collapsed="false">
      <c r="A25" s="2" t="s">
        <v>86</v>
      </c>
      <c r="B25" s="2" t="s">
        <v>60</v>
      </c>
      <c r="C25" s="17" t="n">
        <v>0.03</v>
      </c>
      <c r="D25" s="17" t="n">
        <v>0.06</v>
      </c>
      <c r="E25" s="17" t="n">
        <v>0.1</v>
      </c>
      <c r="F25" s="7"/>
    </row>
    <row r="26" customFormat="false" ht="15" hidden="false" customHeight="false" outlineLevel="0" collapsed="false">
      <c r="A26" s="2" t="s">
        <v>87</v>
      </c>
      <c r="B26" s="2" t="s">
        <v>60</v>
      </c>
      <c r="C26" s="17" t="n">
        <v>0.03</v>
      </c>
      <c r="D26" s="17" t="n">
        <v>0.06</v>
      </c>
      <c r="E26" s="17" t="n">
        <v>0.1</v>
      </c>
      <c r="F26" s="7" t="s">
        <v>88</v>
      </c>
    </row>
    <row r="27" customFormat="false" ht="15" hidden="false" customHeight="false" outlineLevel="0" collapsed="false">
      <c r="A27" s="2" t="s">
        <v>89</v>
      </c>
      <c r="B27" s="2" t="s">
        <v>60</v>
      </c>
      <c r="C27" s="17" t="n">
        <v>0.01</v>
      </c>
      <c r="D27" s="17" t="n">
        <v>0.02</v>
      </c>
      <c r="E27" s="17" t="n">
        <v>0.03</v>
      </c>
      <c r="F27" s="7"/>
    </row>
    <row r="28" customFormat="false" ht="15" hidden="false" customHeight="false" outlineLevel="0" collapsed="false">
      <c r="A28" s="2" t="s">
        <v>90</v>
      </c>
      <c r="B28" s="2" t="s">
        <v>69</v>
      </c>
      <c r="C28" s="16" t="n">
        <v>150</v>
      </c>
      <c r="D28" s="16" t="n">
        <v>300</v>
      </c>
      <c r="E28" s="16" t="n">
        <v>600</v>
      </c>
      <c r="F28" s="7"/>
    </row>
    <row r="29" customFormat="false" ht="15" hidden="false" customHeight="false" outlineLevel="0" collapsed="false">
      <c r="A29" s="2" t="s">
        <v>91</v>
      </c>
      <c r="B29" s="2" t="s">
        <v>69</v>
      </c>
      <c r="C29" s="16" t="n">
        <v>10</v>
      </c>
      <c r="D29" s="16" t="n">
        <v>25</v>
      </c>
      <c r="E29" s="16" t="n">
        <v>45</v>
      </c>
      <c r="F29" s="7" t="s">
        <v>92</v>
      </c>
    </row>
    <row r="30" customFormat="false" ht="15" hidden="false" customHeight="false" outlineLevel="0" collapsed="false">
      <c r="A30" s="2" t="s">
        <v>93</v>
      </c>
      <c r="B30" s="2" t="s">
        <v>69</v>
      </c>
      <c r="C30" s="16" t="n">
        <v>10</v>
      </c>
      <c r="D30" s="16" t="n">
        <v>25</v>
      </c>
      <c r="E30" s="16" t="n">
        <v>60</v>
      </c>
      <c r="F30" s="7" t="s">
        <v>94</v>
      </c>
    </row>
    <row r="31" customFormat="false" ht="15" hidden="false" customHeight="false" outlineLevel="0" collapsed="false">
      <c r="A31" s="2" t="s">
        <v>95</v>
      </c>
      <c r="B31" s="2" t="s">
        <v>60</v>
      </c>
      <c r="C31" s="17" t="n">
        <v>0.1</v>
      </c>
      <c r="D31" s="17" t="n">
        <v>0.2</v>
      </c>
      <c r="E31" s="17" t="n">
        <v>0.3</v>
      </c>
      <c r="F31" s="7"/>
    </row>
    <row r="32" customFormat="false" ht="15" hidden="false" customHeight="false" outlineLevel="0" collapsed="false">
      <c r="A32" s="2" t="s">
        <v>96</v>
      </c>
      <c r="B32" s="2" t="s">
        <v>69</v>
      </c>
      <c r="C32" s="16" t="n">
        <v>10</v>
      </c>
      <c r="D32" s="16" t="n">
        <v>18</v>
      </c>
      <c r="E32" s="16" t="n">
        <v>30</v>
      </c>
      <c r="F32" s="7" t="s">
        <v>97</v>
      </c>
    </row>
    <row r="33" customFormat="false" ht="15" hidden="false" customHeight="false" outlineLevel="0" collapsed="false">
      <c r="A33" s="2" t="s">
        <v>98</v>
      </c>
      <c r="B33" s="2" t="s">
        <v>60</v>
      </c>
      <c r="C33" s="17" t="n">
        <v>0.1</v>
      </c>
      <c r="D33" s="17" t="n">
        <v>0.15</v>
      </c>
      <c r="E33" s="17" t="n">
        <v>0.25</v>
      </c>
      <c r="F33" s="7"/>
    </row>
    <row r="34" customFormat="false" ht="15" hidden="false" customHeight="false" outlineLevel="0" collapsed="false">
      <c r="A34" s="2" t="s">
        <v>99</v>
      </c>
      <c r="B34" s="2" t="s">
        <v>60</v>
      </c>
      <c r="C34" s="17" t="n">
        <v>0.01</v>
      </c>
      <c r="D34" s="17" t="n">
        <v>0.02</v>
      </c>
      <c r="E34" s="17" t="n">
        <v>0.03</v>
      </c>
      <c r="F34" s="7"/>
    </row>
    <row r="35" customFormat="false" ht="15" hidden="false" customHeight="false" outlineLevel="0" collapsed="false">
      <c r="A35" s="2" t="s">
        <v>100</v>
      </c>
      <c r="B35" s="2" t="s">
        <v>60</v>
      </c>
      <c r="C35" s="17" t="n">
        <v>0.02</v>
      </c>
      <c r="D35" s="17" t="n">
        <v>0.04</v>
      </c>
      <c r="E35" s="17" t="n">
        <v>0.06</v>
      </c>
      <c r="F35" s="7"/>
    </row>
    <row r="36" customFormat="false" ht="15" hidden="false" customHeight="false" outlineLevel="0" collapsed="false">
      <c r="A36" s="2" t="s">
        <v>101</v>
      </c>
      <c r="B36" s="2" t="s">
        <v>64</v>
      </c>
      <c r="C36" s="19" t="n">
        <v>0</v>
      </c>
      <c r="D36" s="19" t="n">
        <v>10000</v>
      </c>
      <c r="E36" s="19" t="n">
        <v>40000</v>
      </c>
      <c r="F36" s="7"/>
    </row>
    <row r="37" customFormat="false" ht="15" hidden="false" customHeight="false" outlineLevel="0" collapsed="false">
      <c r="A37" s="2" t="s">
        <v>102</v>
      </c>
      <c r="B37" s="2" t="s">
        <v>60</v>
      </c>
      <c r="C37" s="17" t="n">
        <v>0.25</v>
      </c>
      <c r="D37" s="17" t="n">
        <v>0.4</v>
      </c>
      <c r="E37" s="17" t="n">
        <v>0.6</v>
      </c>
      <c r="F37" s="7"/>
    </row>
    <row r="38" customFormat="false" ht="15" hidden="false" customHeight="false" outlineLevel="0" collapsed="false">
      <c r="A38" s="2" t="s">
        <v>103</v>
      </c>
      <c r="B38" s="2" t="s">
        <v>60</v>
      </c>
      <c r="C38" s="17" t="n">
        <v>0.3</v>
      </c>
      <c r="D38" s="17" t="n">
        <v>0.4</v>
      </c>
      <c r="E38" s="17" t="n">
        <v>0.5</v>
      </c>
      <c r="F38" s="7"/>
    </row>
    <row r="39" customFormat="false" ht="15" hidden="false" customHeight="false" outlineLevel="0" collapsed="false">
      <c r="A39" s="14" t="s">
        <v>104</v>
      </c>
      <c r="B39" s="15"/>
      <c r="C39" s="15"/>
      <c r="D39" s="15"/>
      <c r="E39" s="15"/>
      <c r="F39" s="15"/>
    </row>
    <row r="40" customFormat="false" ht="15" hidden="false" customHeight="false" outlineLevel="0" collapsed="false">
      <c r="A40" s="2" t="s">
        <v>105</v>
      </c>
      <c r="B40" s="2" t="s">
        <v>60</v>
      </c>
      <c r="C40" s="17" t="n">
        <v>0.05</v>
      </c>
      <c r="D40" s="17" t="n">
        <v>0.05</v>
      </c>
      <c r="E40" s="17" t="n">
        <v>0.05</v>
      </c>
      <c r="F40" s="7"/>
    </row>
    <row r="41" customFormat="false" ht="15" hidden="false" customHeight="false" outlineLevel="0" collapsed="false">
      <c r="A41" s="2" t="s">
        <v>106</v>
      </c>
      <c r="B41" s="2" t="s">
        <v>64</v>
      </c>
      <c r="C41" s="19" t="n">
        <v>20</v>
      </c>
      <c r="D41" s="19" t="n">
        <v>20</v>
      </c>
      <c r="E41" s="19" t="n">
        <v>20</v>
      </c>
      <c r="F41" s="7" t="s">
        <v>107</v>
      </c>
    </row>
    <row r="42" customFormat="false" ht="15" hidden="false" customHeight="false" outlineLevel="0" collapsed="false">
      <c r="A42" s="2" t="s">
        <v>108</v>
      </c>
      <c r="B42" s="2" t="s">
        <v>60</v>
      </c>
      <c r="C42" s="17" t="n">
        <v>0.02</v>
      </c>
      <c r="D42" s="17" t="n">
        <v>0.02</v>
      </c>
      <c r="E42" s="17" t="n">
        <v>0.02</v>
      </c>
      <c r="F42" s="7"/>
    </row>
    <row r="43" customFormat="false" ht="15" hidden="false" customHeight="false" outlineLevel="0" collapsed="false">
      <c r="A43" s="2" t="s">
        <v>109</v>
      </c>
      <c r="B43" s="2" t="s">
        <v>60</v>
      </c>
      <c r="C43" s="17" t="n">
        <v>0.2</v>
      </c>
      <c r="D43" s="17" t="n">
        <v>0.2</v>
      </c>
      <c r="E43" s="17" t="n">
        <v>0.2</v>
      </c>
      <c r="F43" s="7"/>
    </row>
    <row r="44" customFormat="false" ht="15" hidden="false" customHeight="false" outlineLevel="0" collapsed="false">
      <c r="A44" s="2" t="s">
        <v>110</v>
      </c>
      <c r="B44" s="2" t="s">
        <v>60</v>
      </c>
      <c r="C44" s="17" t="n">
        <v>0.025</v>
      </c>
      <c r="D44" s="17" t="n">
        <v>0.025</v>
      </c>
      <c r="E44" s="17" t="n">
        <v>0.025</v>
      </c>
      <c r="F44" s="7"/>
    </row>
    <row r="45" customFormat="false" ht="15" hidden="false" customHeight="false" outlineLevel="0" collapsed="false">
      <c r="A45" s="2" t="s">
        <v>111</v>
      </c>
      <c r="B45" s="2" t="s">
        <v>60</v>
      </c>
      <c r="C45" s="17" t="n">
        <v>0.3</v>
      </c>
      <c r="D45" s="17" t="n">
        <v>0.3</v>
      </c>
      <c r="E45" s="17" t="n">
        <v>0.3</v>
      </c>
      <c r="F45" s="7"/>
    </row>
    <row r="46" customFormat="false" ht="15" hidden="false" customHeight="false" outlineLevel="0" collapsed="false">
      <c r="A46" s="2" t="s">
        <v>112</v>
      </c>
      <c r="B46" s="2" t="s">
        <v>60</v>
      </c>
      <c r="C46" s="17" t="n">
        <v>0.3</v>
      </c>
      <c r="D46" s="17" t="n">
        <v>0.3</v>
      </c>
      <c r="E46" s="17" t="n">
        <v>0.3</v>
      </c>
      <c r="F46" s="7" t="s">
        <v>113</v>
      </c>
    </row>
    <row r="47" customFormat="false" ht="15" hidden="false" customHeight="false" outlineLevel="0" collapsed="false">
      <c r="A47" s="2" t="s">
        <v>114</v>
      </c>
      <c r="B47" s="2" t="s">
        <v>60</v>
      </c>
      <c r="C47" s="17" t="n">
        <v>0.55</v>
      </c>
      <c r="D47" s="17" t="n">
        <v>0.55</v>
      </c>
      <c r="E47" s="17" t="n">
        <v>0.55</v>
      </c>
      <c r="F47" s="7" t="s">
        <v>115</v>
      </c>
    </row>
    <row r="48" customFormat="false" ht="15" hidden="false" customHeight="false" outlineLevel="0" collapsed="false">
      <c r="A48" s="2" t="s">
        <v>116</v>
      </c>
      <c r="B48" s="2" t="s">
        <v>60</v>
      </c>
      <c r="C48" s="17" t="n">
        <v>0.05</v>
      </c>
      <c r="D48" s="17" t="n">
        <v>0.05</v>
      </c>
      <c r="E48" s="17" t="n">
        <v>0.05</v>
      </c>
      <c r="F48" s="7" t="s">
        <v>117</v>
      </c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</row>
    <row r="50" customFormat="false" ht="15" hidden="false" customHeight="false" outlineLevel="0" collapsed="false">
      <c r="A50" s="8" t="s">
        <v>118</v>
      </c>
      <c r="B50" s="2"/>
      <c r="C50" s="2"/>
      <c r="D50" s="2"/>
      <c r="E50" s="2"/>
      <c r="F50" s="2"/>
    </row>
    <row r="51" customFormat="false" ht="15" hidden="false" customHeight="false" outlineLevel="0" collapsed="false">
      <c r="A51" s="2" t="s">
        <v>119</v>
      </c>
      <c r="B51" s="20" t="n">
        <v>0</v>
      </c>
      <c r="C51" s="20" t="n">
        <v>0</v>
      </c>
      <c r="D51" s="20" t="n">
        <v>1</v>
      </c>
      <c r="E51" s="20" t="n">
        <v>2</v>
      </c>
      <c r="F51" s="20" t="n">
        <v>3</v>
      </c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</row>
    <row r="53" customFormat="false" ht="15" hidden="false" customHeight="false" outlineLevel="0" collapsed="false">
      <c r="A53" s="8" t="s">
        <v>120</v>
      </c>
      <c r="B53" s="2" t="s">
        <v>121</v>
      </c>
      <c r="C53" s="12" t="n">
        <v>500000</v>
      </c>
      <c r="D53" s="12" t="n">
        <v>550000</v>
      </c>
      <c r="E53" s="2"/>
      <c r="F5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8"/>
    <col collapsed="false" customWidth="true" hidden="false" outlineLevel="0" max="9" min="3" style="0" width="15"/>
  </cols>
  <sheetData>
    <row r="1" customFormat="false" ht="19.7" hidden="false" customHeight="false" outlineLevel="0" collapsed="false">
      <c r="A1" s="6" t="s">
        <v>122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9" t="s">
        <v>123</v>
      </c>
      <c r="B3" s="9" t="s">
        <v>124</v>
      </c>
      <c r="C3" s="9" t="s">
        <v>25</v>
      </c>
      <c r="D3" s="9" t="s">
        <v>125</v>
      </c>
      <c r="E3" s="9" t="s">
        <v>43</v>
      </c>
      <c r="F3" s="9" t="s">
        <v>126</v>
      </c>
      <c r="G3" s="9" t="s">
        <v>44</v>
      </c>
      <c r="H3" s="9" t="s">
        <v>26</v>
      </c>
      <c r="I3" s="9" t="s">
        <v>27</v>
      </c>
    </row>
    <row r="4" customFormat="false" ht="15" hidden="false" customHeight="false" outlineLevel="0" collapsed="false">
      <c r="A4" s="7" t="s">
        <v>127</v>
      </c>
      <c r="B4" s="7" t="s">
        <v>128</v>
      </c>
      <c r="C4" s="21" t="n">
        <f aca="false">Hypothèses!$C$5</f>
        <v>3000</v>
      </c>
      <c r="D4" s="21" t="n">
        <f aca="false">Hypothèses!$C$6</f>
        <v>4000</v>
      </c>
      <c r="E4" s="21" t="n">
        <f aca="false">Hypothèses!$C$7</f>
        <v>5000</v>
      </c>
      <c r="F4" s="21" t="n">
        <f aca="false">Hypothèses!$C$8</f>
        <v>5000</v>
      </c>
      <c r="G4" s="21" t="n">
        <f aca="false">Hypothèses!$C$9</f>
        <v>6000</v>
      </c>
      <c r="H4" s="7"/>
      <c r="I4" s="7"/>
    </row>
    <row r="5" customFormat="false" ht="15" hidden="false" customHeight="false" outlineLevel="0" collapsed="false">
      <c r="A5" s="7" t="s">
        <v>129</v>
      </c>
      <c r="B5" s="7" t="s">
        <v>130</v>
      </c>
      <c r="C5" s="21" t="n">
        <f aca="false">C4</f>
        <v>3000</v>
      </c>
      <c r="D5" s="21" t="n">
        <f aca="false">C5*Hypothèses!$C$10+D4</f>
        <v>5050</v>
      </c>
      <c r="E5" s="21" t="n">
        <f aca="false">D5*Hypothèses!$C$10+E4</f>
        <v>6767.5</v>
      </c>
      <c r="F5" s="21" t="n">
        <f aca="false">E5*Hypothèses!$C$10+F4</f>
        <v>7368.625</v>
      </c>
      <c r="G5" s="21" t="n">
        <f aca="false">F5*Hypothèses!$C$10+G4</f>
        <v>8579.01875</v>
      </c>
      <c r="H5" s="7"/>
      <c r="I5" s="7"/>
    </row>
    <row r="6" customFormat="false" ht="15" hidden="false" customHeight="false" outlineLevel="0" collapsed="false">
      <c r="A6" s="14" t="s">
        <v>131</v>
      </c>
      <c r="B6" s="22"/>
      <c r="C6" s="15"/>
      <c r="D6" s="15"/>
      <c r="E6" s="15"/>
      <c r="F6" s="15"/>
      <c r="G6" s="15"/>
      <c r="H6" s="15"/>
      <c r="I6" s="15"/>
    </row>
    <row r="7" customFormat="false" ht="15" hidden="false" customHeight="false" outlineLevel="0" collapsed="false">
      <c r="A7" s="2" t="s">
        <v>132</v>
      </c>
      <c r="B7" s="7" t="s">
        <v>133</v>
      </c>
      <c r="C7" s="12" t="n">
        <f aca="false">C4*Hypothèses!$C$12</f>
        <v>74970</v>
      </c>
      <c r="D7" s="12" t="n">
        <f aca="false">D4*Hypothèses!$C$12</f>
        <v>99960</v>
      </c>
      <c r="E7" s="12" t="n">
        <f aca="false">E4*Hypothèses!$C$12</f>
        <v>124950</v>
      </c>
      <c r="F7" s="12" t="n">
        <f aca="false">F4*Hypothèses!$C$12</f>
        <v>124950</v>
      </c>
      <c r="G7" s="12" t="n">
        <f aca="false">G4*Hypothèses!$C$12</f>
        <v>149940</v>
      </c>
      <c r="H7" s="12" t="n">
        <f aca="false">SUM(C7:E7)</f>
        <v>299880</v>
      </c>
      <c r="I7" s="12" t="n">
        <f aca="false">SUM(C7:G7)</f>
        <v>574770</v>
      </c>
    </row>
    <row r="8" customFormat="false" ht="15" hidden="false" customHeight="false" outlineLevel="0" collapsed="false">
      <c r="A8" s="2" t="s">
        <v>134</v>
      </c>
      <c r="B8" s="7" t="s">
        <v>135</v>
      </c>
      <c r="C8" s="12" t="n">
        <f aca="false">C5*Hypothèses!$C$24*Hypothèses!$C$13*Hypothèses!$C$14</f>
        <v>4495.5</v>
      </c>
      <c r="D8" s="12" t="n">
        <f aca="false">D5*Hypothèses!$C$24*Hypothèses!$C$13*Hypothèses!$C$14</f>
        <v>7567.425</v>
      </c>
      <c r="E8" s="12" t="n">
        <f aca="false">E5*Hypothèses!$C$24*Hypothèses!$C$13*Hypothèses!$C$14</f>
        <v>10141.09875</v>
      </c>
      <c r="F8" s="12" t="n">
        <f aca="false">F5*Hypothèses!$C$24*Hypothèses!$C$13*Hypothèses!$C$14</f>
        <v>11041.8845625</v>
      </c>
      <c r="G8" s="12" t="n">
        <f aca="false">G5*Hypothèses!$C$24*Hypothèses!$C$13*Hypothèses!$C$14</f>
        <v>12855.659596875</v>
      </c>
      <c r="H8" s="12" t="n">
        <f aca="false">SUM(C8:E8)</f>
        <v>22204.02375</v>
      </c>
      <c r="I8" s="12" t="n">
        <f aca="false">SUM(C8:G8)</f>
        <v>46101.567909375</v>
      </c>
    </row>
    <row r="9" customFormat="false" ht="15" hidden="false" customHeight="false" outlineLevel="0" collapsed="false">
      <c r="A9" s="2" t="s">
        <v>136</v>
      </c>
      <c r="B9" s="7" t="s">
        <v>137</v>
      </c>
      <c r="C9" s="12" t="n">
        <f aca="false">C5*Hypothèses!$C$25*Hypothèses!$C$15</f>
        <v>719.1</v>
      </c>
      <c r="D9" s="12" t="n">
        <f aca="false">D5*Hypothèses!$C$25*Hypothèses!$C$15</f>
        <v>1210.485</v>
      </c>
      <c r="E9" s="12" t="n">
        <f aca="false">E5*Hypothèses!$C$25*Hypothèses!$C$15</f>
        <v>1622.16975</v>
      </c>
      <c r="F9" s="12" t="n">
        <f aca="false">F5*Hypothèses!$C$25*Hypothèses!$C$15</f>
        <v>1766.2594125</v>
      </c>
      <c r="G9" s="12" t="n">
        <f aca="false">G5*Hypothèses!$C$25*Hypothèses!$C$15</f>
        <v>2056.390794375</v>
      </c>
      <c r="H9" s="12" t="n">
        <f aca="false">SUM(C9:E9)</f>
        <v>3551.75475</v>
      </c>
      <c r="I9" s="12" t="n">
        <f aca="false">SUM(C9:G9)</f>
        <v>7374.404956875</v>
      </c>
    </row>
    <row r="10" customFormat="false" ht="15" hidden="false" customHeight="false" outlineLevel="0" collapsed="false">
      <c r="A10" s="2" t="s">
        <v>138</v>
      </c>
      <c r="B10" s="7" t="s">
        <v>139</v>
      </c>
      <c r="C10" s="12" t="n">
        <f aca="false">C5*Hypothèses!$C$26*Hypothèses!$C$16</f>
        <v>2700</v>
      </c>
      <c r="D10" s="12" t="n">
        <f aca="false">D5*Hypothèses!$C$26*Hypothèses!$C$16</f>
        <v>4545</v>
      </c>
      <c r="E10" s="12" t="n">
        <f aca="false">E5*Hypothèses!$C$26*Hypothèses!$C$16</f>
        <v>6090.75</v>
      </c>
      <c r="F10" s="12" t="n">
        <f aca="false">F5*Hypothèses!$C$26*Hypothèses!$C$16</f>
        <v>6631.7625</v>
      </c>
      <c r="G10" s="12" t="n">
        <f aca="false">G5*Hypothèses!$C$26*Hypothèses!$C$16</f>
        <v>7721.116875</v>
      </c>
      <c r="H10" s="12" t="n">
        <f aca="false">SUM(C10:E10)</f>
        <v>13335.75</v>
      </c>
      <c r="I10" s="12" t="n">
        <f aca="false">SUM(C10:G10)</f>
        <v>27688.629375</v>
      </c>
    </row>
    <row r="11" customFormat="false" ht="15" hidden="false" customHeight="false" outlineLevel="0" collapsed="false">
      <c r="A11" s="23" t="s">
        <v>140</v>
      </c>
      <c r="B11" s="23" t="s">
        <v>141</v>
      </c>
      <c r="C11" s="24" t="n">
        <f aca="false">SUM(C7:C10)</f>
        <v>82884.6</v>
      </c>
      <c r="D11" s="24" t="n">
        <f aca="false">SUM(D7:D10)</f>
        <v>113282.91</v>
      </c>
      <c r="E11" s="24" t="n">
        <f aca="false">SUM(E7:E10)</f>
        <v>142804.0185</v>
      </c>
      <c r="F11" s="24" t="n">
        <f aca="false">SUM(F7:F10)</f>
        <v>144389.906475</v>
      </c>
      <c r="G11" s="24" t="n">
        <f aca="false">SUM(G7:G10)</f>
        <v>172573.16726625</v>
      </c>
      <c r="H11" s="24" t="n">
        <f aca="false">SUM(C11:E11)</f>
        <v>338971.5285</v>
      </c>
      <c r="I11" s="24" t="n">
        <f aca="false">SUM(C11:G11)</f>
        <v>655934.60224125</v>
      </c>
    </row>
    <row r="12" customFormat="false" ht="15" hidden="false" customHeight="false" outlineLevel="0" collapsed="false">
      <c r="A12" s="14" t="s">
        <v>142</v>
      </c>
      <c r="B12" s="22"/>
      <c r="C12" s="15"/>
      <c r="D12" s="15"/>
      <c r="E12" s="15"/>
      <c r="F12" s="15"/>
      <c r="G12" s="15"/>
      <c r="H12" s="15"/>
      <c r="I12" s="15"/>
    </row>
    <row r="13" customFormat="false" ht="15" hidden="false" customHeight="false" outlineLevel="0" collapsed="false">
      <c r="A13" s="7" t="s">
        <v>143</v>
      </c>
      <c r="B13" s="7" t="s">
        <v>144</v>
      </c>
      <c r="C13" s="21" t="n">
        <f aca="false">C5*Hypothèses!$C$27+Hypothèses!$C$28</f>
        <v>180</v>
      </c>
      <c r="D13" s="21" t="n">
        <f aca="false">D5*Hypothèses!$C$27+Hypothèses!$C$28</f>
        <v>200.5</v>
      </c>
      <c r="E13" s="21" t="n">
        <f aca="false">E5*Hypothèses!$C$27+Hypothèses!$C$28</f>
        <v>217.675</v>
      </c>
      <c r="F13" s="21" t="n">
        <f aca="false">F5*Hypothèses!$C$27+Hypothèses!$C$28</f>
        <v>223.68625</v>
      </c>
      <c r="G13" s="21" t="n">
        <f aca="false">G5*Hypothèses!$C$27+Hypothèses!$C$28</f>
        <v>235.7901875</v>
      </c>
      <c r="H13" s="7"/>
      <c r="I13" s="7"/>
    </row>
    <row r="14" customFormat="false" ht="15" hidden="false" customHeight="false" outlineLevel="0" collapsed="false">
      <c r="A14" s="7" t="s">
        <v>145</v>
      </c>
      <c r="B14" s="7" t="s">
        <v>146</v>
      </c>
      <c r="C14" s="21" t="n">
        <f aca="false">C13</f>
        <v>180</v>
      </c>
      <c r="D14" s="21" t="n">
        <f aca="false">C14+D13</f>
        <v>380.5</v>
      </c>
      <c r="E14" s="21" t="n">
        <f aca="false">D14+E13</f>
        <v>598.175</v>
      </c>
      <c r="F14" s="21" t="n">
        <f aca="false">E14+F13</f>
        <v>821.86125</v>
      </c>
      <c r="G14" s="21" t="n">
        <f aca="false">F14+G13</f>
        <v>1057.6514375</v>
      </c>
      <c r="H14" s="7"/>
      <c r="I14" s="7"/>
    </row>
    <row r="15" customFormat="false" ht="15" hidden="false" customHeight="false" outlineLevel="0" collapsed="false">
      <c r="A15" s="2" t="s">
        <v>147</v>
      </c>
      <c r="B15" s="7" t="s">
        <v>148</v>
      </c>
      <c r="C15" s="12" t="n">
        <f aca="false">C13*Hypothèses!$C$17</f>
        <v>13500</v>
      </c>
      <c r="D15" s="12" t="n">
        <f aca="false">D13*Hypothèses!$C$17</f>
        <v>15037.5</v>
      </c>
      <c r="E15" s="12" t="n">
        <f aca="false">E13*Hypothèses!$C$17</f>
        <v>16325.625</v>
      </c>
      <c r="F15" s="12" t="n">
        <f aca="false">F13*Hypothèses!$C$17</f>
        <v>16776.46875</v>
      </c>
      <c r="G15" s="12" t="n">
        <f aca="false">G13*Hypothèses!$C$17</f>
        <v>17684.2640625</v>
      </c>
      <c r="H15" s="12" t="n">
        <f aca="false">SUM(C15:E15)</f>
        <v>44863.125</v>
      </c>
      <c r="I15" s="12" t="n">
        <f aca="false">SUM(C15:G15)</f>
        <v>79323.8578125</v>
      </c>
    </row>
    <row r="16" customFormat="false" ht="15" hidden="false" customHeight="false" outlineLevel="0" collapsed="false">
      <c r="A16" s="2" t="s">
        <v>149</v>
      </c>
      <c r="B16" s="7" t="s">
        <v>150</v>
      </c>
      <c r="C16" s="12" t="n">
        <f aca="false">Hypothèses!$C$29*Hypothèses!$C$18</f>
        <v>3500</v>
      </c>
      <c r="D16" s="12" t="n">
        <f aca="false">Hypothèses!$C$29*Hypothèses!$C$18</f>
        <v>3500</v>
      </c>
      <c r="E16" s="12" t="n">
        <f aca="false">Hypothèses!$C$29*Hypothèses!$C$18</f>
        <v>3500</v>
      </c>
      <c r="F16" s="12" t="n">
        <f aca="false">Hypothèses!$C$29*Hypothèses!$C$18</f>
        <v>3500</v>
      </c>
      <c r="G16" s="12" t="n">
        <f aca="false">Hypothèses!$C$29*Hypothèses!$C$18</f>
        <v>3500</v>
      </c>
      <c r="H16" s="12" t="n">
        <f aca="false">SUM(C16:E16)</f>
        <v>10500</v>
      </c>
      <c r="I16" s="12" t="n">
        <f aca="false">SUM(C16:G16)</f>
        <v>17500</v>
      </c>
    </row>
    <row r="17" customFormat="false" ht="15" hidden="false" customHeight="false" outlineLevel="0" collapsed="false">
      <c r="A17" s="7" t="s">
        <v>151</v>
      </c>
      <c r="B17" s="7" t="s">
        <v>152</v>
      </c>
      <c r="C17" s="21" t="n">
        <f aca="false">ROUND(Hypothèses!$C$30*(1+Hypothèses!$C$31)^0,0)</f>
        <v>10</v>
      </c>
      <c r="D17" s="21" t="n">
        <f aca="false">ROUND(Hypothèses!$C$30*(1+Hypothèses!$C$31)^1,0)</f>
        <v>11</v>
      </c>
      <c r="E17" s="21" t="n">
        <f aca="false">ROUND(Hypothèses!$C$30*(1+Hypothèses!$C$31)^2,0)</f>
        <v>12</v>
      </c>
      <c r="F17" s="21" t="n">
        <f aca="false">ROUND(Hypothèses!$C$30*(1+Hypothèses!$C$31)^3,0)</f>
        <v>13</v>
      </c>
      <c r="G17" s="21" t="n">
        <f aca="false">ROUND(Hypothèses!$C$30*(1+Hypothèses!$C$31)^4,0)</f>
        <v>15</v>
      </c>
      <c r="H17" s="7"/>
      <c r="I17" s="7"/>
    </row>
    <row r="18" customFormat="false" ht="15" hidden="false" customHeight="false" outlineLevel="0" collapsed="false">
      <c r="A18" s="2" t="s">
        <v>153</v>
      </c>
      <c r="B18" s="7" t="s">
        <v>154</v>
      </c>
      <c r="C18" s="12" t="n">
        <f aca="false">12*C17*Hypothèses!$C$19</f>
        <v>12000</v>
      </c>
      <c r="D18" s="12" t="n">
        <f aca="false">12*D17*Hypothèses!$C$19</f>
        <v>13200</v>
      </c>
      <c r="E18" s="12" t="n">
        <f aca="false">12*E17*Hypothèses!$C$19</f>
        <v>14400</v>
      </c>
      <c r="F18" s="12" t="n">
        <f aca="false">12*F17*Hypothèses!$C$19</f>
        <v>15600</v>
      </c>
      <c r="G18" s="12" t="n">
        <f aca="false">12*G17*Hypothèses!$C$19</f>
        <v>18000</v>
      </c>
      <c r="H18" s="12" t="n">
        <f aca="false">SUM(C18:E18)</f>
        <v>39600</v>
      </c>
      <c r="I18" s="12" t="n">
        <f aca="false">SUM(C18:G18)</f>
        <v>73200</v>
      </c>
    </row>
    <row r="19" customFormat="false" ht="15" hidden="false" customHeight="false" outlineLevel="0" collapsed="false">
      <c r="A19" s="2" t="s">
        <v>155</v>
      </c>
      <c r="B19" s="7" t="s">
        <v>156</v>
      </c>
      <c r="C19" s="12" t="n">
        <f aca="false">(SUM($C15:C15)+SUM($C16:C16)+SUM($C18:C18))*Hypothèses!$C$37*Hypothèses!$C$40</f>
        <v>362.5</v>
      </c>
      <c r="D19" s="12" t="n">
        <f aca="false">(SUM($C15:D15)+SUM($C16:D16)+SUM($C18:D18))*Hypothèses!$C$37*Hypothèses!$C$40</f>
        <v>759.21875</v>
      </c>
      <c r="E19" s="12" t="n">
        <f aca="false">(SUM($C15:E15)+SUM($C16:E16)+SUM($C18:E18))*Hypothèses!$C$37*Hypothèses!$C$40</f>
        <v>1187.0390625</v>
      </c>
      <c r="F19" s="12" t="n">
        <f aca="false">(SUM($C15:F15)+SUM($C16:F16)+SUM($C18:F18))*Hypothèses!$C$37*Hypothèses!$C$40</f>
        <v>1635.494921875</v>
      </c>
      <c r="G19" s="12" t="n">
        <f aca="false">(SUM($C15:G15)+SUM($C16:G16)+SUM($C18:G18))*Hypothèses!$C$37*Hypothèses!$C$40</f>
        <v>2125.29822265625</v>
      </c>
      <c r="H19" s="12" t="n">
        <f aca="false">SUM(C19:E19)</f>
        <v>2308.7578125</v>
      </c>
      <c r="I19" s="12" t="n">
        <f aca="false">SUM(C19:G19)</f>
        <v>6069.55095703125</v>
      </c>
    </row>
    <row r="20" customFormat="false" ht="15" hidden="false" customHeight="false" outlineLevel="0" collapsed="false">
      <c r="A20" s="2" t="s">
        <v>157</v>
      </c>
      <c r="B20" s="7" t="s">
        <v>158</v>
      </c>
      <c r="C20" s="12" t="n">
        <f aca="false">C14*Hypothèses!$C$38*Hypothèses!$C$41*Hypothèses!$C$42+C10*Hypothèses!$C$43*Hypothèses!$C$44</f>
        <v>35.1</v>
      </c>
      <c r="D20" s="12" t="n">
        <f aca="false">D14*Hypothèses!$C$38*Hypothèses!$C$41*Hypothèses!$C$42+D10*Hypothèses!$C$43*Hypothèses!$C$44</f>
        <v>68.385</v>
      </c>
      <c r="E20" s="12" t="n">
        <f aca="false">E14*Hypothèses!$C$38*Hypothèses!$C$41*Hypothèses!$C$42+E10*Hypothèses!$C$43*Hypothèses!$C$44</f>
        <v>102.23475</v>
      </c>
      <c r="F20" s="12" t="n">
        <f aca="false">F14*Hypothèses!$C$38*Hypothèses!$C$41*Hypothèses!$C$42+F10*Hypothèses!$C$43*Hypothèses!$C$44</f>
        <v>131.7821625</v>
      </c>
      <c r="G20" s="12" t="n">
        <f aca="false">G14*Hypothèses!$C$38*Hypothèses!$C$41*Hypothèses!$C$42+G10*Hypothèses!$C$43*Hypothèses!$C$44</f>
        <v>165.523756875</v>
      </c>
      <c r="H20" s="12" t="n">
        <f aca="false">SUM(C20:E20)</f>
        <v>205.71975</v>
      </c>
      <c r="I20" s="12" t="n">
        <f aca="false">SUM(C20:G20)</f>
        <v>503.025669375</v>
      </c>
    </row>
    <row r="21" customFormat="false" ht="15" hidden="false" customHeight="false" outlineLevel="0" collapsed="false">
      <c r="A21" s="23" t="s">
        <v>159</v>
      </c>
      <c r="B21" s="23" t="s">
        <v>160</v>
      </c>
      <c r="C21" s="24" t="n">
        <f aca="false">C15+C16+C18+C19+C20</f>
        <v>29397.6</v>
      </c>
      <c r="D21" s="24" t="n">
        <f aca="false">D15+D16+D18+D19+D20</f>
        <v>32565.10375</v>
      </c>
      <c r="E21" s="24" t="n">
        <f aca="false">E15+E16+E18+E19+E20</f>
        <v>35514.8988125</v>
      </c>
      <c r="F21" s="24" t="n">
        <f aca="false">F15+F16+F18+F19+F20</f>
        <v>37643.745834375</v>
      </c>
      <c r="G21" s="24" t="n">
        <f aca="false">G15+G16+G18+G19+G20</f>
        <v>41475.0860420313</v>
      </c>
      <c r="H21" s="24" t="n">
        <f aca="false">SUM(C21:E21)</f>
        <v>97477.6025625</v>
      </c>
      <c r="I21" s="24" t="n">
        <f aca="false">SUM(C21:G21)</f>
        <v>176596.434438906</v>
      </c>
    </row>
    <row r="22" customFormat="false" ht="15" hidden="false" customHeight="false" outlineLevel="0" collapsed="false">
      <c r="A22" s="14" t="s">
        <v>161</v>
      </c>
      <c r="B22" s="22"/>
      <c r="C22" s="15"/>
      <c r="D22" s="15"/>
      <c r="E22" s="15"/>
      <c r="F22" s="15"/>
      <c r="G22" s="15"/>
      <c r="H22" s="15"/>
      <c r="I22" s="15"/>
    </row>
    <row r="23" customFormat="false" ht="15" hidden="false" customHeight="false" outlineLevel="0" collapsed="false">
      <c r="A23" s="7" t="s">
        <v>162</v>
      </c>
      <c r="B23" s="7" t="s">
        <v>163</v>
      </c>
      <c r="C23" s="21" t="n">
        <f aca="false">ROUND(Hypothèses!$C$32*(1+Hypothèses!$C$33)^0,0)</f>
        <v>10</v>
      </c>
      <c r="D23" s="21" t="n">
        <f aca="false">ROUND(Hypothèses!$C$32*(1+Hypothèses!$C$33)^1,0)</f>
        <v>11</v>
      </c>
      <c r="E23" s="21" t="n">
        <f aca="false">ROUND(Hypothèses!$C$32*(1+Hypothèses!$C$33)^2,0)</f>
        <v>12</v>
      </c>
      <c r="F23" s="21" t="n">
        <f aca="false">ROUND(Hypothèses!$C$32*(1+Hypothèses!$C$33)^3,0)</f>
        <v>13</v>
      </c>
      <c r="G23" s="21" t="n">
        <f aca="false">ROUND(Hypothèses!$C$32*(1+Hypothèses!$C$33)^4,0)</f>
        <v>15</v>
      </c>
      <c r="H23" s="7"/>
      <c r="I23" s="7"/>
    </row>
    <row r="24" customFormat="false" ht="15" hidden="false" customHeight="false" outlineLevel="0" collapsed="false">
      <c r="A24" s="23" t="s">
        <v>164</v>
      </c>
      <c r="B24" s="23" t="s">
        <v>165</v>
      </c>
      <c r="C24" s="24" t="n">
        <f aca="false">C23*Hypothèses!$C$20</f>
        <v>15000</v>
      </c>
      <c r="D24" s="24" t="n">
        <f aca="false">D23*Hypothèses!$C$20</f>
        <v>16500</v>
      </c>
      <c r="E24" s="24" t="n">
        <f aca="false">E23*Hypothèses!$C$20</f>
        <v>18000</v>
      </c>
      <c r="F24" s="24" t="n">
        <f aca="false">F23*Hypothèses!$C$20</f>
        <v>19500</v>
      </c>
      <c r="G24" s="24" t="n">
        <f aca="false">G23*Hypothèses!$C$20</f>
        <v>22500</v>
      </c>
      <c r="H24" s="24" t="n">
        <f aca="false">SUM(C24:E24)</f>
        <v>49500</v>
      </c>
      <c r="I24" s="24" t="n">
        <f aca="false">SUM(C24:G24)</f>
        <v>91500</v>
      </c>
    </row>
    <row r="25" customFormat="false" ht="15" hidden="false" customHeight="false" outlineLevel="0" collapsed="false">
      <c r="A25" s="14" t="s">
        <v>166</v>
      </c>
      <c r="B25" s="22"/>
      <c r="C25" s="15"/>
      <c r="D25" s="15"/>
      <c r="E25" s="15"/>
      <c r="F25" s="15"/>
      <c r="G25" s="15"/>
      <c r="H25" s="15"/>
      <c r="I25" s="15"/>
    </row>
    <row r="26" customFormat="false" ht="15" hidden="false" customHeight="false" outlineLevel="0" collapsed="false">
      <c r="A26" s="23" t="s">
        <v>167</v>
      </c>
      <c r="B26" s="23" t="s">
        <v>168</v>
      </c>
      <c r="C26" s="24" t="n">
        <f aca="false">C5*Hypothèses!$C$34*Hypothèses!$C$21</f>
        <v>1200</v>
      </c>
      <c r="D26" s="24" t="n">
        <f aca="false">D5*Hypothèses!$C$34*Hypothèses!$C$21</f>
        <v>2020</v>
      </c>
      <c r="E26" s="24" t="n">
        <f aca="false">E5*Hypothèses!$C$34*Hypothèses!$C$21</f>
        <v>2707</v>
      </c>
      <c r="F26" s="24" t="n">
        <f aca="false">F5*Hypothèses!$C$34*Hypothèses!$C$21</f>
        <v>2947.45</v>
      </c>
      <c r="G26" s="24" t="n">
        <f aca="false">G5*Hypothèses!$C$34*Hypothèses!$C$21</f>
        <v>3431.6075</v>
      </c>
      <c r="H26" s="24" t="n">
        <f aca="false">SUM(C26:E26)</f>
        <v>5927</v>
      </c>
      <c r="I26" s="24" t="n">
        <f aca="false">SUM(C26:G26)</f>
        <v>12306.0575</v>
      </c>
    </row>
    <row r="27" customFormat="false" ht="15" hidden="false" customHeight="false" outlineLevel="0" collapsed="false">
      <c r="A27" s="14" t="s">
        <v>169</v>
      </c>
      <c r="B27" s="22"/>
      <c r="C27" s="15"/>
      <c r="D27" s="15"/>
      <c r="E27" s="15"/>
      <c r="F27" s="15"/>
      <c r="G27" s="15"/>
      <c r="H27" s="15"/>
      <c r="I27" s="15"/>
    </row>
    <row r="28" customFormat="false" ht="15" hidden="false" customHeight="false" outlineLevel="0" collapsed="false">
      <c r="A28" s="23" t="s">
        <v>170</v>
      </c>
      <c r="B28" s="23" t="s">
        <v>171</v>
      </c>
      <c r="C28" s="24" t="n">
        <f aca="false">Hypothèses!B$51*(C5*Hypothèses!$C$35*Hypothèses!$C$22+Hypothèses!$C$36)</f>
        <v>0</v>
      </c>
      <c r="D28" s="24" t="n">
        <f aca="false">Hypothèses!C$51*(D5*Hypothèses!$C$35*Hypothèses!$C$22+Hypothèses!$C$36)</f>
        <v>0</v>
      </c>
      <c r="E28" s="24" t="n">
        <f aca="false">Hypothèses!D$51*(E5*Hypothèses!$C$35*Hypothèses!$C$22+Hypothèses!$C$36)</f>
        <v>1624.2</v>
      </c>
      <c r="F28" s="24" t="n">
        <f aca="false">Hypothèses!E$51*(F5*Hypothèses!$C$35*Hypothèses!$C$22+Hypothèses!$C$36)</f>
        <v>3536.94</v>
      </c>
      <c r="G28" s="24" t="n">
        <f aca="false">Hypothèses!F$51*(G5*Hypothèses!$C$35*Hypothèses!$C$22+Hypothèses!$C$36)</f>
        <v>6176.8935</v>
      </c>
      <c r="H28" s="24" t="n">
        <f aca="false">SUM(C28:E28)</f>
        <v>1624.2</v>
      </c>
      <c r="I28" s="24" t="n">
        <f aca="false">SUM(C28:G28)</f>
        <v>11338.0335</v>
      </c>
    </row>
    <row r="29" customFormat="false" ht="15" hidden="false" customHeight="false" outlineLevel="0" collapsed="false">
      <c r="A29" s="14" t="s">
        <v>172</v>
      </c>
      <c r="B29" s="22"/>
      <c r="C29" s="15"/>
      <c r="D29" s="15"/>
      <c r="E29" s="15"/>
      <c r="F29" s="15"/>
      <c r="G29" s="15"/>
      <c r="H29" s="15"/>
      <c r="I29" s="15"/>
    </row>
    <row r="30" customFormat="false" ht="15" hidden="false" customHeight="false" outlineLevel="0" collapsed="false">
      <c r="A30" s="25" t="s">
        <v>173</v>
      </c>
      <c r="B30" s="25" t="s">
        <v>174</v>
      </c>
      <c r="C30" s="26" t="n">
        <f aca="false">C11+C21+C24+C26+C28</f>
        <v>128482.2</v>
      </c>
      <c r="D30" s="26" t="n">
        <f aca="false">D11+D21+D24+D26+D28</f>
        <v>164368.01375</v>
      </c>
      <c r="E30" s="26" t="n">
        <f aca="false">E11+E21+E24+E26+E28</f>
        <v>200650.1173125</v>
      </c>
      <c r="F30" s="26" t="n">
        <f aca="false">F11+F21+F24+F26+F28</f>
        <v>208018.042309375</v>
      </c>
      <c r="G30" s="26" t="n">
        <f aca="false">G11+G21+G24+G26+G28</f>
        <v>246156.754308281</v>
      </c>
      <c r="H30" s="26" t="n">
        <f aca="false">SUM(C30:E30)</f>
        <v>493500.3310625</v>
      </c>
      <c r="I30" s="26" t="n">
        <f aca="false">SUM(C30:G30)</f>
        <v>947675.127680156</v>
      </c>
    </row>
    <row r="31" customFormat="false" ht="15" hidden="false" customHeight="false" outlineLevel="0" collapsed="false">
      <c r="A31" s="2" t="s">
        <v>175</v>
      </c>
      <c r="B31" s="7" t="s">
        <v>176</v>
      </c>
      <c r="C31" s="12" t="n">
        <f aca="false">-(C7+C8+C9)*Hypothèses!$C$45</f>
        <v>-24055.38</v>
      </c>
      <c r="D31" s="12" t="n">
        <f aca="false">-(D7+D8+D9)*Hypothèses!$C$45</f>
        <v>-32621.373</v>
      </c>
      <c r="E31" s="12" t="n">
        <f aca="false">-(E7+E8+E9)*Hypothèses!$C$45</f>
        <v>-41013.98055</v>
      </c>
      <c r="F31" s="12" t="n">
        <f aca="false">-(F7+F8+F9)*Hypothèses!$C$45</f>
        <v>-41327.4431925</v>
      </c>
      <c r="G31" s="12" t="n">
        <f aca="false">-(G7+G8+G9)*Hypothèses!$C$45</f>
        <v>-49455.615117375</v>
      </c>
      <c r="H31" s="12" t="n">
        <f aca="false">SUM(C31:E31)</f>
        <v>-97690.73355</v>
      </c>
      <c r="I31" s="12" t="n">
        <f aca="false">SUM(C31:G31)</f>
        <v>-188473.791859875</v>
      </c>
    </row>
    <row r="32" customFormat="false" ht="15" hidden="false" customHeight="false" outlineLevel="0" collapsed="false">
      <c r="A32" s="2" t="s">
        <v>177</v>
      </c>
      <c r="B32" s="7" t="s">
        <v>178</v>
      </c>
      <c r="C32" s="12" t="n">
        <f aca="false">-C24*Hypothèses!$C$46</f>
        <v>-4500</v>
      </c>
      <c r="D32" s="12" t="n">
        <f aca="false">-D24*Hypothèses!$C$46</f>
        <v>-4950</v>
      </c>
      <c r="E32" s="12" t="n">
        <f aca="false">-E24*Hypothèses!$C$46</f>
        <v>-5400</v>
      </c>
      <c r="F32" s="12" t="n">
        <f aca="false">-F24*Hypothèses!$C$46</f>
        <v>-5850</v>
      </c>
      <c r="G32" s="12" t="n">
        <f aca="false">-G24*Hypothèses!$C$46</f>
        <v>-6750</v>
      </c>
      <c r="H32" s="12" t="n">
        <f aca="false">SUM(C32:E32)</f>
        <v>-14850</v>
      </c>
      <c r="I32" s="12" t="n">
        <f aca="false">SUM(C32:G32)</f>
        <v>-27450</v>
      </c>
    </row>
    <row r="33" customFormat="false" ht="15" hidden="false" customHeight="false" outlineLevel="0" collapsed="false">
      <c r="A33" s="2" t="s">
        <v>179</v>
      </c>
      <c r="B33" s="7" t="s">
        <v>180</v>
      </c>
      <c r="C33" s="12" t="n">
        <f aca="false">-C26*Hypothèses!$C$47</f>
        <v>-660</v>
      </c>
      <c r="D33" s="12" t="n">
        <f aca="false">-D26*Hypothèses!$C$47</f>
        <v>-1111</v>
      </c>
      <c r="E33" s="12" t="n">
        <f aca="false">-E26*Hypothèses!$C$47</f>
        <v>-1488.85</v>
      </c>
      <c r="F33" s="12" t="n">
        <f aca="false">-F26*Hypothèses!$C$47</f>
        <v>-1621.0975</v>
      </c>
      <c r="G33" s="12" t="n">
        <f aca="false">-G26*Hypothèses!$C$47</f>
        <v>-1887.384125</v>
      </c>
      <c r="H33" s="12" t="n">
        <f aca="false">SUM(C33:E33)</f>
        <v>-3259.85</v>
      </c>
      <c r="I33" s="12" t="n">
        <f aca="false">SUM(C33:G33)</f>
        <v>-6768.331625</v>
      </c>
    </row>
    <row r="34" customFormat="false" ht="15" hidden="false" customHeight="false" outlineLevel="0" collapsed="false">
      <c r="A34" s="2" t="s">
        <v>181</v>
      </c>
      <c r="B34" s="7" t="s">
        <v>182</v>
      </c>
      <c r="C34" s="12" t="n">
        <f aca="false">-C30*Hypothèses!$C$48</f>
        <v>-6424.11</v>
      </c>
      <c r="D34" s="12" t="n">
        <f aca="false">-D30*Hypothèses!$C$48</f>
        <v>-8218.4006875</v>
      </c>
      <c r="E34" s="12" t="n">
        <f aca="false">-E30*Hypothèses!$C$48</f>
        <v>-10032.505865625</v>
      </c>
      <c r="F34" s="12" t="n">
        <f aca="false">-F30*Hypothèses!$C$48</f>
        <v>-10400.9021154688</v>
      </c>
      <c r="G34" s="12" t="n">
        <f aca="false">-G30*Hypothèses!$C$48</f>
        <v>-12307.8377154141</v>
      </c>
      <c r="H34" s="12" t="n">
        <f aca="false">SUM(C34:E34)</f>
        <v>-24675.016553125</v>
      </c>
      <c r="I34" s="12" t="n">
        <f aca="false">SUM(C34:G34)</f>
        <v>-47383.7563840078</v>
      </c>
    </row>
    <row r="35" customFormat="false" ht="15" hidden="false" customHeight="false" outlineLevel="0" collapsed="false">
      <c r="A35" s="25" t="s">
        <v>183</v>
      </c>
      <c r="B35" s="25" t="s">
        <v>184</v>
      </c>
      <c r="C35" s="26" t="n">
        <f aca="false">C30+SUM(C31:C34)</f>
        <v>92842.71</v>
      </c>
      <c r="D35" s="26" t="n">
        <f aca="false">D30+SUM(D31:D34)</f>
        <v>117467.2400625</v>
      </c>
      <c r="E35" s="26" t="n">
        <f aca="false">E30+SUM(E31:E34)</f>
        <v>142714.780896875</v>
      </c>
      <c r="F35" s="26" t="n">
        <f aca="false">F30+SUM(F31:F34)</f>
        <v>148818.599501406</v>
      </c>
      <c r="G35" s="26" t="n">
        <f aca="false">G30+SUM(G31:G34)</f>
        <v>175755.917350492</v>
      </c>
      <c r="H35" s="26" t="n">
        <f aca="false">SUM(C35:E35)</f>
        <v>353024.730959375</v>
      </c>
      <c r="I35" s="26" t="n">
        <f aca="false">SUM(C35:G35)</f>
        <v>677599.247811273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7" t="s">
        <v>185</v>
      </c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7" t="s">
        <v>186</v>
      </c>
      <c r="B38" s="2"/>
      <c r="C38" s="2"/>
      <c r="D38" s="2"/>
      <c r="E38" s="2"/>
      <c r="F38" s="2"/>
      <c r="G38" s="2"/>
      <c r="H38" s="2"/>
      <c r="I3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8"/>
    <col collapsed="false" customWidth="true" hidden="false" outlineLevel="0" max="9" min="3" style="0" width="15"/>
  </cols>
  <sheetData>
    <row r="1" customFormat="false" ht="19.7" hidden="false" customHeight="false" outlineLevel="0" collapsed="false">
      <c r="A1" s="6" t="s">
        <v>187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9" t="s">
        <v>123</v>
      </c>
      <c r="B3" s="9" t="s">
        <v>124</v>
      </c>
      <c r="C3" s="9" t="s">
        <v>25</v>
      </c>
      <c r="D3" s="9" t="s">
        <v>125</v>
      </c>
      <c r="E3" s="9" t="s">
        <v>43</v>
      </c>
      <c r="F3" s="9" t="s">
        <v>126</v>
      </c>
      <c r="G3" s="9" t="s">
        <v>44</v>
      </c>
      <c r="H3" s="9" t="s">
        <v>26</v>
      </c>
      <c r="I3" s="9" t="s">
        <v>27</v>
      </c>
    </row>
    <row r="4" customFormat="false" ht="15" hidden="false" customHeight="false" outlineLevel="0" collapsed="false">
      <c r="A4" s="7" t="s">
        <v>127</v>
      </c>
      <c r="B4" s="7" t="s">
        <v>128</v>
      </c>
      <c r="C4" s="21" t="n">
        <f aca="false">Hypothèses!$D$5</f>
        <v>15000</v>
      </c>
      <c r="D4" s="21" t="n">
        <f aca="false">Hypothèses!$D$6</f>
        <v>22000</v>
      </c>
      <c r="E4" s="21" t="n">
        <f aca="false">Hypothèses!$D$7</f>
        <v>30000</v>
      </c>
      <c r="F4" s="21" t="n">
        <f aca="false">Hypothèses!$D$8</f>
        <v>35000</v>
      </c>
      <c r="G4" s="21" t="n">
        <f aca="false">Hypothèses!$D$9</f>
        <v>40000</v>
      </c>
      <c r="H4" s="7"/>
      <c r="I4" s="7"/>
    </row>
    <row r="5" customFormat="false" ht="15" hidden="false" customHeight="false" outlineLevel="0" collapsed="false">
      <c r="A5" s="7" t="s">
        <v>129</v>
      </c>
      <c r="B5" s="7" t="s">
        <v>130</v>
      </c>
      <c r="C5" s="21" t="n">
        <f aca="false">C4</f>
        <v>15000</v>
      </c>
      <c r="D5" s="21" t="n">
        <f aca="false">C5*Hypothèses!$D$10+D4</f>
        <v>28750</v>
      </c>
      <c r="E5" s="21" t="n">
        <f aca="false">D5*Hypothèses!$D$10+E4</f>
        <v>42937.5</v>
      </c>
      <c r="F5" s="21" t="n">
        <f aca="false">E5*Hypothèses!$D$10+F4</f>
        <v>54321.875</v>
      </c>
      <c r="G5" s="21" t="n">
        <f aca="false">F5*Hypothèses!$D$10+G4</f>
        <v>64444.84375</v>
      </c>
      <c r="H5" s="7"/>
      <c r="I5" s="7"/>
    </row>
    <row r="6" customFormat="false" ht="15" hidden="false" customHeight="false" outlineLevel="0" collapsed="false">
      <c r="A6" s="14" t="s">
        <v>131</v>
      </c>
      <c r="B6" s="22"/>
      <c r="C6" s="15"/>
      <c r="D6" s="15"/>
      <c r="E6" s="15"/>
      <c r="F6" s="15"/>
      <c r="G6" s="15"/>
      <c r="H6" s="15"/>
      <c r="I6" s="15"/>
    </row>
    <row r="7" customFormat="false" ht="15" hidden="false" customHeight="false" outlineLevel="0" collapsed="false">
      <c r="A7" s="2" t="s">
        <v>132</v>
      </c>
      <c r="B7" s="7" t="s">
        <v>133</v>
      </c>
      <c r="C7" s="12" t="n">
        <f aca="false">C4*Hypothèses!$D$12</f>
        <v>374850</v>
      </c>
      <c r="D7" s="12" t="n">
        <f aca="false">D4*Hypothèses!$D$12</f>
        <v>549780</v>
      </c>
      <c r="E7" s="12" t="n">
        <f aca="false">E4*Hypothèses!$D$12</f>
        <v>749700</v>
      </c>
      <c r="F7" s="12" t="n">
        <f aca="false">F4*Hypothèses!$D$12</f>
        <v>874650</v>
      </c>
      <c r="G7" s="12" t="n">
        <f aca="false">G4*Hypothèses!$D$12</f>
        <v>999600</v>
      </c>
      <c r="H7" s="12" t="n">
        <f aca="false">SUM(C7:E7)</f>
        <v>1674330</v>
      </c>
      <c r="I7" s="12" t="n">
        <f aca="false">SUM(C7:G7)</f>
        <v>3548580</v>
      </c>
    </row>
    <row r="8" customFormat="false" ht="15" hidden="false" customHeight="false" outlineLevel="0" collapsed="false">
      <c r="A8" s="2" t="s">
        <v>134</v>
      </c>
      <c r="B8" s="7" t="s">
        <v>135</v>
      </c>
      <c r="C8" s="12" t="n">
        <f aca="false">C5*Hypothèses!$D$24*Hypothèses!$D$13*Hypothèses!$D$14</f>
        <v>37462.5</v>
      </c>
      <c r="D8" s="12" t="n">
        <f aca="false">D5*Hypothèses!$D$24*Hypothèses!$D$13*Hypothèses!$D$14</f>
        <v>71803.125</v>
      </c>
      <c r="E8" s="12" t="n">
        <f aca="false">E5*Hypothèses!$D$24*Hypothèses!$D$13*Hypothèses!$D$14</f>
        <v>107236.40625</v>
      </c>
      <c r="F8" s="12" t="n">
        <f aca="false">F5*Hypothèses!$D$24*Hypothèses!$D$13*Hypothèses!$D$14</f>
        <v>135668.8828125</v>
      </c>
      <c r="G8" s="12" t="n">
        <f aca="false">G5*Hypothèses!$D$24*Hypothèses!$D$13*Hypothèses!$D$14</f>
        <v>160950.997265625</v>
      </c>
      <c r="H8" s="12" t="n">
        <f aca="false">SUM(C8:E8)</f>
        <v>216502.03125</v>
      </c>
      <c r="I8" s="12" t="n">
        <f aca="false">SUM(C8:G8)</f>
        <v>513121.911328125</v>
      </c>
    </row>
    <row r="9" customFormat="false" ht="15" hidden="false" customHeight="false" outlineLevel="0" collapsed="false">
      <c r="A9" s="2" t="s">
        <v>136</v>
      </c>
      <c r="B9" s="7" t="s">
        <v>137</v>
      </c>
      <c r="C9" s="12" t="n">
        <f aca="false">C5*Hypothèses!$D$25*Hypothèses!$D$15</f>
        <v>7191</v>
      </c>
      <c r="D9" s="12" t="n">
        <f aca="false">D5*Hypothèses!$D$25*Hypothèses!$D$15</f>
        <v>13782.75</v>
      </c>
      <c r="E9" s="12" t="n">
        <f aca="false">E5*Hypothèses!$D$25*Hypothèses!$D$15</f>
        <v>20584.2375</v>
      </c>
      <c r="F9" s="12" t="n">
        <f aca="false">F5*Hypothèses!$D$25*Hypothèses!$D$15</f>
        <v>26041.906875</v>
      </c>
      <c r="G9" s="12" t="n">
        <f aca="false">G5*Hypothèses!$D$25*Hypothèses!$D$15</f>
        <v>30894.85809375</v>
      </c>
      <c r="H9" s="12" t="n">
        <f aca="false">SUM(C9:E9)</f>
        <v>41557.9875</v>
      </c>
      <c r="I9" s="12" t="n">
        <f aca="false">SUM(C9:G9)</f>
        <v>98494.75246875</v>
      </c>
    </row>
    <row r="10" customFormat="false" ht="15" hidden="false" customHeight="false" outlineLevel="0" collapsed="false">
      <c r="A10" s="2" t="s">
        <v>138</v>
      </c>
      <c r="B10" s="7" t="s">
        <v>139</v>
      </c>
      <c r="C10" s="12" t="n">
        <f aca="false">C5*Hypothèses!$D$26*Hypothèses!$D$16</f>
        <v>27000</v>
      </c>
      <c r="D10" s="12" t="n">
        <f aca="false">D5*Hypothèses!$D$26*Hypothèses!$D$16</f>
        <v>51750</v>
      </c>
      <c r="E10" s="12" t="n">
        <f aca="false">E5*Hypothèses!$D$26*Hypothèses!$D$16</f>
        <v>77287.5</v>
      </c>
      <c r="F10" s="12" t="n">
        <f aca="false">F5*Hypothèses!$D$26*Hypothèses!$D$16</f>
        <v>97779.375</v>
      </c>
      <c r="G10" s="12" t="n">
        <f aca="false">G5*Hypothèses!$D$26*Hypothèses!$D$16</f>
        <v>116000.71875</v>
      </c>
      <c r="H10" s="12" t="n">
        <f aca="false">SUM(C10:E10)</f>
        <v>156037.5</v>
      </c>
      <c r="I10" s="12" t="n">
        <f aca="false">SUM(C10:G10)</f>
        <v>369817.59375</v>
      </c>
    </row>
    <row r="11" customFormat="false" ht="15" hidden="false" customHeight="false" outlineLevel="0" collapsed="false">
      <c r="A11" s="23" t="s">
        <v>140</v>
      </c>
      <c r="B11" s="23" t="s">
        <v>141</v>
      </c>
      <c r="C11" s="24" t="n">
        <f aca="false">SUM(C7:C10)</f>
        <v>446503.5</v>
      </c>
      <c r="D11" s="24" t="n">
        <f aca="false">SUM(D7:D10)</f>
        <v>687115.875</v>
      </c>
      <c r="E11" s="24" t="n">
        <f aca="false">SUM(E7:E10)</f>
        <v>954808.14375</v>
      </c>
      <c r="F11" s="24" t="n">
        <f aca="false">SUM(F7:F10)</f>
        <v>1134140.1646875</v>
      </c>
      <c r="G11" s="24" t="n">
        <f aca="false">SUM(G7:G10)</f>
        <v>1307446.57410938</v>
      </c>
      <c r="H11" s="24" t="n">
        <f aca="false">SUM(C11:E11)</f>
        <v>2088427.51875</v>
      </c>
      <c r="I11" s="24" t="n">
        <f aca="false">SUM(C11:G11)</f>
        <v>4530014.25754688</v>
      </c>
    </row>
    <row r="12" customFormat="false" ht="15" hidden="false" customHeight="false" outlineLevel="0" collapsed="false">
      <c r="A12" s="14" t="s">
        <v>142</v>
      </c>
      <c r="B12" s="22"/>
      <c r="C12" s="15"/>
      <c r="D12" s="15"/>
      <c r="E12" s="15"/>
      <c r="F12" s="15"/>
      <c r="G12" s="15"/>
      <c r="H12" s="15"/>
      <c r="I12" s="15"/>
    </row>
    <row r="13" customFormat="false" ht="15" hidden="false" customHeight="false" outlineLevel="0" collapsed="false">
      <c r="A13" s="7" t="s">
        <v>143</v>
      </c>
      <c r="B13" s="7" t="s">
        <v>144</v>
      </c>
      <c r="C13" s="21" t="n">
        <f aca="false">C5*Hypothèses!$D$27+Hypothèses!$D$28</f>
        <v>600</v>
      </c>
      <c r="D13" s="21" t="n">
        <f aca="false">D5*Hypothèses!$D$27+Hypothèses!$D$28</f>
        <v>875</v>
      </c>
      <c r="E13" s="21" t="n">
        <f aca="false">E5*Hypothèses!$D$27+Hypothèses!$D$28</f>
        <v>1158.75</v>
      </c>
      <c r="F13" s="21" t="n">
        <f aca="false">F5*Hypothèses!$D$27+Hypothèses!$D$28</f>
        <v>1386.4375</v>
      </c>
      <c r="G13" s="21" t="n">
        <f aca="false">G5*Hypothèses!$D$27+Hypothèses!$D$28</f>
        <v>1588.896875</v>
      </c>
      <c r="H13" s="7"/>
      <c r="I13" s="7"/>
    </row>
    <row r="14" customFormat="false" ht="15" hidden="false" customHeight="false" outlineLevel="0" collapsed="false">
      <c r="A14" s="7" t="s">
        <v>145</v>
      </c>
      <c r="B14" s="7" t="s">
        <v>146</v>
      </c>
      <c r="C14" s="21" t="n">
        <f aca="false">C13</f>
        <v>600</v>
      </c>
      <c r="D14" s="21" t="n">
        <f aca="false">C14+D13</f>
        <v>1475</v>
      </c>
      <c r="E14" s="21" t="n">
        <f aca="false">D14+E13</f>
        <v>2633.75</v>
      </c>
      <c r="F14" s="21" t="n">
        <f aca="false">E14+F13</f>
        <v>4020.1875</v>
      </c>
      <c r="G14" s="21" t="n">
        <f aca="false">F14+G13</f>
        <v>5609.084375</v>
      </c>
      <c r="H14" s="7"/>
      <c r="I14" s="7"/>
    </row>
    <row r="15" customFormat="false" ht="15" hidden="false" customHeight="false" outlineLevel="0" collapsed="false">
      <c r="A15" s="2" t="s">
        <v>147</v>
      </c>
      <c r="B15" s="7" t="s">
        <v>148</v>
      </c>
      <c r="C15" s="12" t="n">
        <f aca="false">C13*Hypothèses!$D$17</f>
        <v>45000</v>
      </c>
      <c r="D15" s="12" t="n">
        <f aca="false">D13*Hypothèses!$D$17</f>
        <v>65625</v>
      </c>
      <c r="E15" s="12" t="n">
        <f aca="false">E13*Hypothèses!$D$17</f>
        <v>86906.25</v>
      </c>
      <c r="F15" s="12" t="n">
        <f aca="false">F13*Hypothèses!$D$17</f>
        <v>103982.8125</v>
      </c>
      <c r="G15" s="12" t="n">
        <f aca="false">G13*Hypothèses!$D$17</f>
        <v>119167.265625</v>
      </c>
      <c r="H15" s="12" t="n">
        <f aca="false">SUM(C15:E15)</f>
        <v>197531.25</v>
      </c>
      <c r="I15" s="12" t="n">
        <f aca="false">SUM(C15:G15)</f>
        <v>420681.328125</v>
      </c>
    </row>
    <row r="16" customFormat="false" ht="15" hidden="false" customHeight="false" outlineLevel="0" collapsed="false">
      <c r="A16" s="2" t="s">
        <v>149</v>
      </c>
      <c r="B16" s="7" t="s">
        <v>150</v>
      </c>
      <c r="C16" s="12" t="n">
        <f aca="false">Hypothèses!$D$29*Hypothèses!$D$18</f>
        <v>8750</v>
      </c>
      <c r="D16" s="12" t="n">
        <f aca="false">Hypothèses!$D$29*Hypothèses!$D$18</f>
        <v>8750</v>
      </c>
      <c r="E16" s="12" t="n">
        <f aca="false">Hypothèses!$D$29*Hypothèses!$D$18</f>
        <v>8750</v>
      </c>
      <c r="F16" s="12" t="n">
        <f aca="false">Hypothèses!$D$29*Hypothèses!$D$18</f>
        <v>8750</v>
      </c>
      <c r="G16" s="12" t="n">
        <f aca="false">Hypothèses!$D$29*Hypothèses!$D$18</f>
        <v>8750</v>
      </c>
      <c r="H16" s="12" t="n">
        <f aca="false">SUM(C16:E16)</f>
        <v>26250</v>
      </c>
      <c r="I16" s="12" t="n">
        <f aca="false">SUM(C16:G16)</f>
        <v>43750</v>
      </c>
    </row>
    <row r="17" customFormat="false" ht="15" hidden="false" customHeight="false" outlineLevel="0" collapsed="false">
      <c r="A17" s="7" t="s">
        <v>151</v>
      </c>
      <c r="B17" s="7" t="s">
        <v>152</v>
      </c>
      <c r="C17" s="21" t="n">
        <f aca="false">ROUND(Hypothèses!$D$30*(1+Hypothèses!$D$31)^0,0)</f>
        <v>25</v>
      </c>
      <c r="D17" s="21" t="n">
        <f aca="false">ROUND(Hypothèses!$D$30*(1+Hypothèses!$D$31)^1,0)</f>
        <v>30</v>
      </c>
      <c r="E17" s="21" t="n">
        <f aca="false">ROUND(Hypothèses!$D$30*(1+Hypothèses!$D$31)^2,0)</f>
        <v>36</v>
      </c>
      <c r="F17" s="21" t="n">
        <f aca="false">ROUND(Hypothèses!$D$30*(1+Hypothèses!$D$31)^3,0)</f>
        <v>43</v>
      </c>
      <c r="G17" s="21" t="n">
        <f aca="false">ROUND(Hypothèses!$D$30*(1+Hypothèses!$D$31)^4,0)</f>
        <v>52</v>
      </c>
      <c r="H17" s="7"/>
      <c r="I17" s="7"/>
    </row>
    <row r="18" customFormat="false" ht="15" hidden="false" customHeight="false" outlineLevel="0" collapsed="false">
      <c r="A18" s="2" t="s">
        <v>153</v>
      </c>
      <c r="B18" s="7" t="s">
        <v>154</v>
      </c>
      <c r="C18" s="12" t="n">
        <f aca="false">12*C17*Hypothèses!$D$19</f>
        <v>30000</v>
      </c>
      <c r="D18" s="12" t="n">
        <f aca="false">12*D17*Hypothèses!$D$19</f>
        <v>36000</v>
      </c>
      <c r="E18" s="12" t="n">
        <f aca="false">12*E17*Hypothèses!$D$19</f>
        <v>43200</v>
      </c>
      <c r="F18" s="12" t="n">
        <f aca="false">12*F17*Hypothèses!$D$19</f>
        <v>51600</v>
      </c>
      <c r="G18" s="12" t="n">
        <f aca="false">12*G17*Hypothèses!$D$19</f>
        <v>62400</v>
      </c>
      <c r="H18" s="12" t="n">
        <f aca="false">SUM(C18:E18)</f>
        <v>109200</v>
      </c>
      <c r="I18" s="12" t="n">
        <f aca="false">SUM(C18:G18)</f>
        <v>223200</v>
      </c>
    </row>
    <row r="19" customFormat="false" ht="15" hidden="false" customHeight="false" outlineLevel="0" collapsed="false">
      <c r="A19" s="2" t="s">
        <v>155</v>
      </c>
      <c r="B19" s="7" t="s">
        <v>156</v>
      </c>
      <c r="C19" s="12" t="n">
        <f aca="false">(SUM($C15:C15)+SUM($C16:C16)+SUM($C18:C18))*Hypothèses!$D$37*Hypothèses!$D$40</f>
        <v>1675</v>
      </c>
      <c r="D19" s="12" t="n">
        <f aca="false">(SUM($C15:D15)+SUM($C16:D16)+SUM($C18:D18))*Hypothèses!$D$37*Hypothèses!$D$40</f>
        <v>3882.5</v>
      </c>
      <c r="E19" s="12" t="n">
        <f aca="false">(SUM($C15:E15)+SUM($C16:E16)+SUM($C18:E18))*Hypothèses!$D$37*Hypothèses!$D$40</f>
        <v>6659.625</v>
      </c>
      <c r="F19" s="12" t="n">
        <f aca="false">(SUM($C15:F15)+SUM($C16:F16)+SUM($C18:F18))*Hypothèses!$D$37*Hypothèses!$D$40</f>
        <v>9946.28125</v>
      </c>
      <c r="G19" s="12" t="n">
        <f aca="false">(SUM($C15:G15)+SUM($C16:G16)+SUM($C18:G18))*Hypothèses!$D$37*Hypothèses!$D$40</f>
        <v>13752.6265625</v>
      </c>
      <c r="H19" s="12" t="n">
        <f aca="false">SUM(C19:E19)</f>
        <v>12217.125</v>
      </c>
      <c r="I19" s="12" t="n">
        <f aca="false">SUM(C19:G19)</f>
        <v>35916.0328125</v>
      </c>
    </row>
    <row r="20" customFormat="false" ht="15" hidden="false" customHeight="false" outlineLevel="0" collapsed="false">
      <c r="A20" s="2" t="s">
        <v>157</v>
      </c>
      <c r="B20" s="7" t="s">
        <v>158</v>
      </c>
      <c r="C20" s="12" t="n">
        <f aca="false">C14*Hypothèses!$D$38*Hypothèses!$D$41*Hypothèses!$D$42+C10*Hypothèses!$D$43*Hypothèses!$D$44</f>
        <v>231</v>
      </c>
      <c r="D20" s="12" t="n">
        <f aca="false">D14*Hypothèses!$D$38*Hypothèses!$D$41*Hypothèses!$D$42+D10*Hypothèses!$D$43*Hypothèses!$D$44</f>
        <v>494.75</v>
      </c>
      <c r="E20" s="12" t="n">
        <f aca="false">E14*Hypothèses!$D$38*Hypothèses!$D$41*Hypothèses!$D$42+E10*Hypothèses!$D$43*Hypothèses!$D$44</f>
        <v>807.8375</v>
      </c>
      <c r="F20" s="12" t="n">
        <f aca="false">F14*Hypothèses!$D$38*Hypothèses!$D$41*Hypothèses!$D$42+F10*Hypothèses!$D$43*Hypothèses!$D$44</f>
        <v>1132.126875</v>
      </c>
      <c r="G20" s="12" t="n">
        <f aca="false">G14*Hypothèses!$D$38*Hypothèses!$D$41*Hypothèses!$D$42+G10*Hypothèses!$D$43*Hypothèses!$D$44</f>
        <v>1477.45709375</v>
      </c>
      <c r="H20" s="12" t="n">
        <f aca="false">SUM(C20:E20)</f>
        <v>1533.5875</v>
      </c>
      <c r="I20" s="12" t="n">
        <f aca="false">SUM(C20:G20)</f>
        <v>4143.17146875</v>
      </c>
    </row>
    <row r="21" customFormat="false" ht="15" hidden="false" customHeight="false" outlineLevel="0" collapsed="false">
      <c r="A21" s="23" t="s">
        <v>159</v>
      </c>
      <c r="B21" s="23" t="s">
        <v>160</v>
      </c>
      <c r="C21" s="24" t="n">
        <f aca="false">C15+C16+C18+C19+C20</f>
        <v>85656</v>
      </c>
      <c r="D21" s="24" t="n">
        <f aca="false">D15+D16+D18+D19+D20</f>
        <v>114752.25</v>
      </c>
      <c r="E21" s="24" t="n">
        <f aca="false">E15+E16+E18+E19+E20</f>
        <v>146323.7125</v>
      </c>
      <c r="F21" s="24" t="n">
        <f aca="false">F15+F16+F18+F19+F20</f>
        <v>175411.220625</v>
      </c>
      <c r="G21" s="24" t="n">
        <f aca="false">G15+G16+G18+G19+G20</f>
        <v>205547.34928125</v>
      </c>
      <c r="H21" s="24" t="n">
        <f aca="false">SUM(C21:E21)</f>
        <v>346731.9625</v>
      </c>
      <c r="I21" s="24" t="n">
        <f aca="false">SUM(C21:G21)</f>
        <v>727690.53240625</v>
      </c>
    </row>
    <row r="22" customFormat="false" ht="15" hidden="false" customHeight="false" outlineLevel="0" collapsed="false">
      <c r="A22" s="14" t="s">
        <v>161</v>
      </c>
      <c r="B22" s="22"/>
      <c r="C22" s="15"/>
      <c r="D22" s="15"/>
      <c r="E22" s="15"/>
      <c r="F22" s="15"/>
      <c r="G22" s="15"/>
      <c r="H22" s="15"/>
      <c r="I22" s="15"/>
    </row>
    <row r="23" customFormat="false" ht="15" hidden="false" customHeight="false" outlineLevel="0" collapsed="false">
      <c r="A23" s="7" t="s">
        <v>162</v>
      </c>
      <c r="B23" s="7" t="s">
        <v>163</v>
      </c>
      <c r="C23" s="21" t="n">
        <f aca="false">ROUND(Hypothèses!$D$32*(1+Hypothèses!$D$33)^0,0)</f>
        <v>18</v>
      </c>
      <c r="D23" s="21" t="n">
        <f aca="false">ROUND(Hypothèses!$D$32*(1+Hypothèses!$D$33)^1,0)</f>
        <v>21</v>
      </c>
      <c r="E23" s="21" t="n">
        <f aca="false">ROUND(Hypothèses!$D$32*(1+Hypothèses!$D$33)^2,0)</f>
        <v>24</v>
      </c>
      <c r="F23" s="21" t="n">
        <f aca="false">ROUND(Hypothèses!$D$32*(1+Hypothèses!$D$33)^3,0)</f>
        <v>27</v>
      </c>
      <c r="G23" s="21" t="n">
        <f aca="false">ROUND(Hypothèses!$D$32*(1+Hypothèses!$D$33)^4,0)</f>
        <v>31</v>
      </c>
      <c r="H23" s="7"/>
      <c r="I23" s="7"/>
    </row>
    <row r="24" customFormat="false" ht="15" hidden="false" customHeight="false" outlineLevel="0" collapsed="false">
      <c r="A24" s="23" t="s">
        <v>164</v>
      </c>
      <c r="B24" s="23" t="s">
        <v>165</v>
      </c>
      <c r="C24" s="24" t="n">
        <f aca="false">C23*Hypothèses!$D$20</f>
        <v>27000</v>
      </c>
      <c r="D24" s="24" t="n">
        <f aca="false">D23*Hypothèses!$D$20</f>
        <v>31500</v>
      </c>
      <c r="E24" s="24" t="n">
        <f aca="false">E23*Hypothèses!$D$20</f>
        <v>36000</v>
      </c>
      <c r="F24" s="24" t="n">
        <f aca="false">F23*Hypothèses!$D$20</f>
        <v>40500</v>
      </c>
      <c r="G24" s="24" t="n">
        <f aca="false">G23*Hypothèses!$D$20</f>
        <v>46500</v>
      </c>
      <c r="H24" s="24" t="n">
        <f aca="false">SUM(C24:E24)</f>
        <v>94500</v>
      </c>
      <c r="I24" s="24" t="n">
        <f aca="false">SUM(C24:G24)</f>
        <v>181500</v>
      </c>
    </row>
    <row r="25" customFormat="false" ht="15" hidden="false" customHeight="false" outlineLevel="0" collapsed="false">
      <c r="A25" s="14" t="s">
        <v>166</v>
      </c>
      <c r="B25" s="22"/>
      <c r="C25" s="15"/>
      <c r="D25" s="15"/>
      <c r="E25" s="15"/>
      <c r="F25" s="15"/>
      <c r="G25" s="15"/>
      <c r="H25" s="15"/>
      <c r="I25" s="15"/>
    </row>
    <row r="26" customFormat="false" ht="15" hidden="false" customHeight="false" outlineLevel="0" collapsed="false">
      <c r="A26" s="23" t="s">
        <v>167</v>
      </c>
      <c r="B26" s="23" t="s">
        <v>168</v>
      </c>
      <c r="C26" s="24" t="n">
        <f aca="false">C5*Hypothèses!$D$34*Hypothèses!$D$21</f>
        <v>12000</v>
      </c>
      <c r="D26" s="24" t="n">
        <f aca="false">D5*Hypothèses!$D$34*Hypothèses!$D$21</f>
        <v>23000</v>
      </c>
      <c r="E26" s="24" t="n">
        <f aca="false">E5*Hypothèses!$D$34*Hypothèses!$D$21</f>
        <v>34350</v>
      </c>
      <c r="F26" s="24" t="n">
        <f aca="false">F5*Hypothèses!$D$34*Hypothèses!$D$21</f>
        <v>43457.5</v>
      </c>
      <c r="G26" s="24" t="n">
        <f aca="false">G5*Hypothèses!$D$34*Hypothèses!$D$21</f>
        <v>51555.875</v>
      </c>
      <c r="H26" s="24" t="n">
        <f aca="false">SUM(C26:E26)</f>
        <v>69350</v>
      </c>
      <c r="I26" s="24" t="n">
        <f aca="false">SUM(C26:G26)</f>
        <v>164363.375</v>
      </c>
    </row>
    <row r="27" customFormat="false" ht="15" hidden="false" customHeight="false" outlineLevel="0" collapsed="false">
      <c r="A27" s="14" t="s">
        <v>169</v>
      </c>
      <c r="B27" s="22"/>
      <c r="C27" s="15"/>
      <c r="D27" s="15"/>
      <c r="E27" s="15"/>
      <c r="F27" s="15"/>
      <c r="G27" s="15"/>
      <c r="H27" s="15"/>
      <c r="I27" s="15"/>
    </row>
    <row r="28" customFormat="false" ht="15" hidden="false" customHeight="false" outlineLevel="0" collapsed="false">
      <c r="A28" s="23" t="s">
        <v>170</v>
      </c>
      <c r="B28" s="23" t="s">
        <v>171</v>
      </c>
      <c r="C28" s="24" t="n">
        <f aca="false">Hypothèses!B$51*(C5*Hypothèses!$D$35*Hypothèses!$D$22+Hypothèses!$D$36)</f>
        <v>0</v>
      </c>
      <c r="D28" s="24" t="n">
        <f aca="false">Hypothèses!C$51*(D5*Hypothèses!$D$35*Hypothèses!$D$22+Hypothèses!$D$36)</f>
        <v>0</v>
      </c>
      <c r="E28" s="24" t="n">
        <f aca="false">Hypothèses!D$51*(E5*Hypothèses!$D$35*Hypothèses!$D$22+Hypothèses!$D$36)</f>
        <v>30610</v>
      </c>
      <c r="F28" s="24" t="n">
        <f aca="false">Hypothèses!E$51*(F5*Hypothèses!$D$35*Hypothèses!$D$22+Hypothèses!$D$36)</f>
        <v>72149</v>
      </c>
      <c r="G28" s="24" t="n">
        <f aca="false">Hypothèses!F$51*(G5*Hypothèses!$D$35*Hypothèses!$D$22+Hypothèses!$D$36)</f>
        <v>122800.575</v>
      </c>
      <c r="H28" s="24" t="n">
        <f aca="false">SUM(C28:E28)</f>
        <v>30610</v>
      </c>
      <c r="I28" s="24" t="n">
        <f aca="false">SUM(C28:G28)</f>
        <v>225559.575</v>
      </c>
    </row>
    <row r="29" customFormat="false" ht="15" hidden="false" customHeight="false" outlineLevel="0" collapsed="false">
      <c r="A29" s="14" t="s">
        <v>172</v>
      </c>
      <c r="B29" s="22"/>
      <c r="C29" s="15"/>
      <c r="D29" s="15"/>
      <c r="E29" s="15"/>
      <c r="F29" s="15"/>
      <c r="G29" s="15"/>
      <c r="H29" s="15"/>
      <c r="I29" s="15"/>
    </row>
    <row r="30" customFormat="false" ht="15" hidden="false" customHeight="false" outlineLevel="0" collapsed="false">
      <c r="A30" s="25" t="s">
        <v>173</v>
      </c>
      <c r="B30" s="25" t="s">
        <v>174</v>
      </c>
      <c r="C30" s="26" t="n">
        <f aca="false">C11+C21+C24+C26+C28</f>
        <v>571159.5</v>
      </c>
      <c r="D30" s="26" t="n">
        <f aca="false">D11+D21+D24+D26+D28</f>
        <v>856368.125</v>
      </c>
      <c r="E30" s="26" t="n">
        <f aca="false">E11+E21+E24+E26+E28</f>
        <v>1202091.85625</v>
      </c>
      <c r="F30" s="26" t="n">
        <f aca="false">F11+F21+F24+F26+F28</f>
        <v>1465657.8853125</v>
      </c>
      <c r="G30" s="26" t="n">
        <f aca="false">G11+G21+G24+G26+G28</f>
        <v>1733850.37339063</v>
      </c>
      <c r="H30" s="26" t="n">
        <f aca="false">SUM(C30:E30)</f>
        <v>2629619.48125</v>
      </c>
      <c r="I30" s="26" t="n">
        <f aca="false">SUM(C30:G30)</f>
        <v>5829127.73995313</v>
      </c>
    </row>
    <row r="31" customFormat="false" ht="15" hidden="false" customHeight="false" outlineLevel="0" collapsed="false">
      <c r="A31" s="2" t="s">
        <v>175</v>
      </c>
      <c r="B31" s="7" t="s">
        <v>176</v>
      </c>
      <c r="C31" s="12" t="n">
        <f aca="false">-(C7+C8+C9)*Hypothèses!$D$45</f>
        <v>-125851.05</v>
      </c>
      <c r="D31" s="12" t="n">
        <f aca="false">-(D7+D8+D9)*Hypothèses!$D$45</f>
        <v>-190609.7625</v>
      </c>
      <c r="E31" s="12" t="n">
        <f aca="false">-(E7+E8+E9)*Hypothèses!$D$45</f>
        <v>-263256.193125</v>
      </c>
      <c r="F31" s="12" t="n">
        <f aca="false">-(F7+F8+F9)*Hypothèses!$D$45</f>
        <v>-310908.23690625</v>
      </c>
      <c r="G31" s="12" t="n">
        <f aca="false">-(G7+G8+G9)*Hypothèses!$D$45</f>
        <v>-357433.756607812</v>
      </c>
      <c r="H31" s="12" t="n">
        <f aca="false">SUM(C31:E31)</f>
        <v>-579717.005625</v>
      </c>
      <c r="I31" s="12" t="n">
        <f aca="false">SUM(C31:G31)</f>
        <v>-1248058.99913906</v>
      </c>
    </row>
    <row r="32" customFormat="false" ht="15" hidden="false" customHeight="false" outlineLevel="0" collapsed="false">
      <c r="A32" s="2" t="s">
        <v>177</v>
      </c>
      <c r="B32" s="7" t="s">
        <v>178</v>
      </c>
      <c r="C32" s="12" t="n">
        <f aca="false">-C24*Hypothèses!$D$46</f>
        <v>-8100</v>
      </c>
      <c r="D32" s="12" t="n">
        <f aca="false">-D24*Hypothèses!$D$46</f>
        <v>-9450</v>
      </c>
      <c r="E32" s="12" t="n">
        <f aca="false">-E24*Hypothèses!$D$46</f>
        <v>-10800</v>
      </c>
      <c r="F32" s="12" t="n">
        <f aca="false">-F24*Hypothèses!$D$46</f>
        <v>-12150</v>
      </c>
      <c r="G32" s="12" t="n">
        <f aca="false">-G24*Hypothèses!$D$46</f>
        <v>-13950</v>
      </c>
      <c r="H32" s="12" t="n">
        <f aca="false">SUM(C32:E32)</f>
        <v>-28350</v>
      </c>
      <c r="I32" s="12" t="n">
        <f aca="false">SUM(C32:G32)</f>
        <v>-54450</v>
      </c>
    </row>
    <row r="33" customFormat="false" ht="15" hidden="false" customHeight="false" outlineLevel="0" collapsed="false">
      <c r="A33" s="2" t="s">
        <v>179</v>
      </c>
      <c r="B33" s="7" t="s">
        <v>180</v>
      </c>
      <c r="C33" s="12" t="n">
        <f aca="false">-C26*Hypothèses!$D$47</f>
        <v>-6600</v>
      </c>
      <c r="D33" s="12" t="n">
        <f aca="false">-D26*Hypothèses!$D$47</f>
        <v>-12650</v>
      </c>
      <c r="E33" s="12" t="n">
        <f aca="false">-E26*Hypothèses!$D$47</f>
        <v>-18892.5</v>
      </c>
      <c r="F33" s="12" t="n">
        <f aca="false">-F26*Hypothèses!$D$47</f>
        <v>-23901.625</v>
      </c>
      <c r="G33" s="12" t="n">
        <f aca="false">-G26*Hypothèses!$D$47</f>
        <v>-28355.73125</v>
      </c>
      <c r="H33" s="12" t="n">
        <f aca="false">SUM(C33:E33)</f>
        <v>-38142.5</v>
      </c>
      <c r="I33" s="12" t="n">
        <f aca="false">SUM(C33:G33)</f>
        <v>-90399.85625</v>
      </c>
    </row>
    <row r="34" customFormat="false" ht="15" hidden="false" customHeight="false" outlineLevel="0" collapsed="false">
      <c r="A34" s="2" t="s">
        <v>181</v>
      </c>
      <c r="B34" s="7" t="s">
        <v>182</v>
      </c>
      <c r="C34" s="12" t="n">
        <f aca="false">-C30*Hypothèses!$D$48</f>
        <v>-28557.975</v>
      </c>
      <c r="D34" s="12" t="n">
        <f aca="false">-D30*Hypothèses!$D$48</f>
        <v>-42818.40625</v>
      </c>
      <c r="E34" s="12" t="n">
        <f aca="false">-E30*Hypothèses!$D$48</f>
        <v>-60104.5928125</v>
      </c>
      <c r="F34" s="12" t="n">
        <f aca="false">-F30*Hypothèses!$D$48</f>
        <v>-73282.894265625</v>
      </c>
      <c r="G34" s="12" t="n">
        <f aca="false">-G30*Hypothèses!$D$48</f>
        <v>-86692.5186695313</v>
      </c>
      <c r="H34" s="12" t="n">
        <f aca="false">SUM(C34:E34)</f>
        <v>-131480.9740625</v>
      </c>
      <c r="I34" s="12" t="n">
        <f aca="false">SUM(C34:G34)</f>
        <v>-291456.386997656</v>
      </c>
    </row>
    <row r="35" customFormat="false" ht="15" hidden="false" customHeight="false" outlineLevel="0" collapsed="false">
      <c r="A35" s="25" t="s">
        <v>183</v>
      </c>
      <c r="B35" s="25" t="s">
        <v>184</v>
      </c>
      <c r="C35" s="26" t="n">
        <f aca="false">C30+SUM(C31:C34)</f>
        <v>402050.475</v>
      </c>
      <c r="D35" s="26" t="n">
        <f aca="false">D30+SUM(D31:D34)</f>
        <v>600839.95625</v>
      </c>
      <c r="E35" s="26" t="n">
        <f aca="false">E30+SUM(E31:E34)</f>
        <v>849038.5703125</v>
      </c>
      <c r="F35" s="26" t="n">
        <f aca="false">F30+SUM(F31:F34)</f>
        <v>1045415.12914063</v>
      </c>
      <c r="G35" s="26" t="n">
        <f aca="false">G30+SUM(G31:G34)</f>
        <v>1247418.36686328</v>
      </c>
      <c r="H35" s="26" t="n">
        <f aca="false">SUM(C35:E35)</f>
        <v>1851929.0015625</v>
      </c>
      <c r="I35" s="26" t="n">
        <f aca="false">SUM(C35:G35)</f>
        <v>4144762.49756641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7" t="s">
        <v>185</v>
      </c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7" t="s">
        <v>186</v>
      </c>
      <c r="B38" s="2"/>
      <c r="C38" s="2"/>
      <c r="D38" s="2"/>
      <c r="E38" s="2"/>
      <c r="F38" s="2"/>
      <c r="G38" s="2"/>
      <c r="H38" s="2"/>
      <c r="I3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8"/>
    <col collapsed="false" customWidth="true" hidden="false" outlineLevel="0" max="9" min="3" style="0" width="15"/>
  </cols>
  <sheetData>
    <row r="1" customFormat="false" ht="19.7" hidden="false" customHeight="false" outlineLevel="0" collapsed="false">
      <c r="A1" s="6" t="s">
        <v>188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9" t="s">
        <v>123</v>
      </c>
      <c r="B3" s="9" t="s">
        <v>124</v>
      </c>
      <c r="C3" s="9" t="s">
        <v>25</v>
      </c>
      <c r="D3" s="9" t="s">
        <v>125</v>
      </c>
      <c r="E3" s="9" t="s">
        <v>43</v>
      </c>
      <c r="F3" s="9" t="s">
        <v>126</v>
      </c>
      <c r="G3" s="9" t="s">
        <v>44</v>
      </c>
      <c r="H3" s="9" t="s">
        <v>26</v>
      </c>
      <c r="I3" s="9" t="s">
        <v>27</v>
      </c>
    </row>
    <row r="4" customFormat="false" ht="15" hidden="false" customHeight="false" outlineLevel="0" collapsed="false">
      <c r="A4" s="7" t="s">
        <v>127</v>
      </c>
      <c r="B4" s="7" t="s">
        <v>128</v>
      </c>
      <c r="C4" s="21" t="n">
        <f aca="false">Hypothèses!$E$5</f>
        <v>60000</v>
      </c>
      <c r="D4" s="21" t="n">
        <f aca="false">Hypothèses!$E$6</f>
        <v>110000</v>
      </c>
      <c r="E4" s="21" t="n">
        <f aca="false">Hypothèses!$E$7</f>
        <v>160000</v>
      </c>
      <c r="F4" s="21" t="n">
        <f aca="false">Hypothèses!$E$8</f>
        <v>200000</v>
      </c>
      <c r="G4" s="21" t="n">
        <f aca="false">Hypothèses!$E$9</f>
        <v>230000</v>
      </c>
      <c r="H4" s="7"/>
      <c r="I4" s="7"/>
    </row>
    <row r="5" customFormat="false" ht="15" hidden="false" customHeight="false" outlineLevel="0" collapsed="false">
      <c r="A5" s="7" t="s">
        <v>129</v>
      </c>
      <c r="B5" s="7" t="s">
        <v>130</v>
      </c>
      <c r="C5" s="21" t="n">
        <f aca="false">C4</f>
        <v>60000</v>
      </c>
      <c r="D5" s="21" t="n">
        <f aca="false">C5*Hypothèses!$E$10+D4</f>
        <v>143000</v>
      </c>
      <c r="E5" s="21" t="n">
        <f aca="false">D5*Hypothèses!$E$10+E4</f>
        <v>238650</v>
      </c>
      <c r="F5" s="21" t="n">
        <f aca="false">E5*Hypothèses!$E$10+F4</f>
        <v>331257.5</v>
      </c>
      <c r="G5" s="21" t="n">
        <f aca="false">F5*Hypothèses!$E$10+G4</f>
        <v>412191.625</v>
      </c>
      <c r="H5" s="7"/>
      <c r="I5" s="7"/>
    </row>
    <row r="6" customFormat="false" ht="15" hidden="false" customHeight="false" outlineLevel="0" collapsed="false">
      <c r="A6" s="14" t="s">
        <v>131</v>
      </c>
      <c r="B6" s="22"/>
      <c r="C6" s="15"/>
      <c r="D6" s="15"/>
      <c r="E6" s="15"/>
      <c r="F6" s="15"/>
      <c r="G6" s="15"/>
      <c r="H6" s="15"/>
      <c r="I6" s="15"/>
    </row>
    <row r="7" customFormat="false" ht="15" hidden="false" customHeight="false" outlineLevel="0" collapsed="false">
      <c r="A7" s="2" t="s">
        <v>132</v>
      </c>
      <c r="B7" s="7" t="s">
        <v>133</v>
      </c>
      <c r="C7" s="12" t="n">
        <f aca="false">C4*Hypothèses!$E$12</f>
        <v>1499400</v>
      </c>
      <c r="D7" s="12" t="n">
        <f aca="false">D4*Hypothèses!$E$12</f>
        <v>2748900</v>
      </c>
      <c r="E7" s="12" t="n">
        <f aca="false">E4*Hypothèses!$E$12</f>
        <v>3998400</v>
      </c>
      <c r="F7" s="12" t="n">
        <f aca="false">F4*Hypothèses!$E$12</f>
        <v>4998000</v>
      </c>
      <c r="G7" s="12" t="n">
        <f aca="false">G4*Hypothèses!$E$12</f>
        <v>5747700</v>
      </c>
      <c r="H7" s="12" t="n">
        <f aca="false">SUM(C7:E7)</f>
        <v>8246700</v>
      </c>
      <c r="I7" s="12" t="n">
        <f aca="false">SUM(C7:G7)</f>
        <v>18992400</v>
      </c>
    </row>
    <row r="8" customFormat="false" ht="15" hidden="false" customHeight="false" outlineLevel="0" collapsed="false">
      <c r="A8" s="2" t="s">
        <v>134</v>
      </c>
      <c r="B8" s="7" t="s">
        <v>135</v>
      </c>
      <c r="C8" s="12" t="n">
        <f aca="false">C5*Hypothèses!$E$24*Hypothèses!$E$13*Hypothèses!$E$14</f>
        <v>209790</v>
      </c>
      <c r="D8" s="12" t="n">
        <f aca="false">D5*Hypothèses!$E$24*Hypothèses!$E$13*Hypothèses!$E$14</f>
        <v>499999.5</v>
      </c>
      <c r="E8" s="12" t="n">
        <f aca="false">E5*Hypothèses!$E$24*Hypothèses!$E$13*Hypothèses!$E$14</f>
        <v>834439.725</v>
      </c>
      <c r="F8" s="12" t="n">
        <f aca="false">F5*Hypothèses!$E$24*Hypothèses!$E$13*Hypothèses!$E$14</f>
        <v>1158241.84875</v>
      </c>
      <c r="G8" s="12" t="n">
        <f aca="false">G5*Hypothèses!$E$24*Hypothèses!$E$13*Hypothèses!$E$14</f>
        <v>1441228.0168125</v>
      </c>
      <c r="H8" s="12" t="n">
        <f aca="false">SUM(C8:E8)</f>
        <v>1544229.225</v>
      </c>
      <c r="I8" s="12" t="n">
        <f aca="false">SUM(C8:G8)</f>
        <v>4143699.0905625</v>
      </c>
    </row>
    <row r="9" customFormat="false" ht="15" hidden="false" customHeight="false" outlineLevel="0" collapsed="false">
      <c r="A9" s="2" t="s">
        <v>136</v>
      </c>
      <c r="B9" s="7" t="s">
        <v>137</v>
      </c>
      <c r="C9" s="12" t="n">
        <f aca="false">C5*Hypothèses!$E$25*Hypothèses!$E$15</f>
        <v>47940</v>
      </c>
      <c r="D9" s="12" t="n">
        <f aca="false">D5*Hypothèses!$E$25*Hypothèses!$E$15</f>
        <v>114257</v>
      </c>
      <c r="E9" s="12" t="n">
        <f aca="false">E5*Hypothèses!$E$25*Hypothèses!$E$15</f>
        <v>190681.35</v>
      </c>
      <c r="F9" s="12" t="n">
        <f aca="false">F5*Hypothèses!$E$25*Hypothèses!$E$15</f>
        <v>264674.7425</v>
      </c>
      <c r="G9" s="12" t="n">
        <f aca="false">G5*Hypothèses!$E$25*Hypothèses!$E$15</f>
        <v>329341.108375</v>
      </c>
      <c r="H9" s="12" t="n">
        <f aca="false">SUM(C9:E9)</f>
        <v>352878.35</v>
      </c>
      <c r="I9" s="12" t="n">
        <f aca="false">SUM(C9:G9)</f>
        <v>946894.200875</v>
      </c>
    </row>
    <row r="10" customFormat="false" ht="15" hidden="false" customHeight="false" outlineLevel="0" collapsed="false">
      <c r="A10" s="2" t="s">
        <v>138</v>
      </c>
      <c r="B10" s="7" t="s">
        <v>139</v>
      </c>
      <c r="C10" s="12" t="n">
        <f aca="false">C5*Hypothèses!$E$26*Hypothèses!$E$16</f>
        <v>180000</v>
      </c>
      <c r="D10" s="12" t="n">
        <f aca="false">D5*Hypothèses!$E$26*Hypothèses!$E$16</f>
        <v>429000</v>
      </c>
      <c r="E10" s="12" t="n">
        <f aca="false">E5*Hypothèses!$E$26*Hypothèses!$E$16</f>
        <v>715950</v>
      </c>
      <c r="F10" s="12" t="n">
        <f aca="false">F5*Hypothèses!$E$26*Hypothèses!$E$16</f>
        <v>993772.5</v>
      </c>
      <c r="G10" s="12" t="n">
        <f aca="false">G5*Hypothèses!$E$26*Hypothèses!$E$16</f>
        <v>1236574.875</v>
      </c>
      <c r="H10" s="12" t="n">
        <f aca="false">SUM(C10:E10)</f>
        <v>1324950</v>
      </c>
      <c r="I10" s="12" t="n">
        <f aca="false">SUM(C10:G10)</f>
        <v>3555297.375</v>
      </c>
    </row>
    <row r="11" customFormat="false" ht="15" hidden="false" customHeight="false" outlineLevel="0" collapsed="false">
      <c r="A11" s="23" t="s">
        <v>140</v>
      </c>
      <c r="B11" s="23" t="s">
        <v>141</v>
      </c>
      <c r="C11" s="24" t="n">
        <f aca="false">SUM(C7:C10)</f>
        <v>1937130</v>
      </c>
      <c r="D11" s="24" t="n">
        <f aca="false">SUM(D7:D10)</f>
        <v>3792156.5</v>
      </c>
      <c r="E11" s="24" t="n">
        <f aca="false">SUM(E7:E10)</f>
        <v>5739471.075</v>
      </c>
      <c r="F11" s="24" t="n">
        <f aca="false">SUM(F7:F10)</f>
        <v>7414689.09125</v>
      </c>
      <c r="G11" s="24" t="n">
        <f aca="false">SUM(G7:G10)</f>
        <v>8754844.0001875</v>
      </c>
      <c r="H11" s="24" t="n">
        <f aca="false">SUM(C11:E11)</f>
        <v>11468757.575</v>
      </c>
      <c r="I11" s="24" t="n">
        <f aca="false">SUM(C11:G11)</f>
        <v>27638290.6664375</v>
      </c>
    </row>
    <row r="12" customFormat="false" ht="15" hidden="false" customHeight="false" outlineLevel="0" collapsed="false">
      <c r="A12" s="14" t="s">
        <v>142</v>
      </c>
      <c r="B12" s="22"/>
      <c r="C12" s="15"/>
      <c r="D12" s="15"/>
      <c r="E12" s="15"/>
      <c r="F12" s="15"/>
      <c r="G12" s="15"/>
      <c r="H12" s="15"/>
      <c r="I12" s="15"/>
    </row>
    <row r="13" customFormat="false" ht="15" hidden="false" customHeight="false" outlineLevel="0" collapsed="false">
      <c r="A13" s="7" t="s">
        <v>143</v>
      </c>
      <c r="B13" s="7" t="s">
        <v>144</v>
      </c>
      <c r="C13" s="21" t="n">
        <f aca="false">C5*Hypothèses!$E$27+Hypothèses!$E$28</f>
        <v>2400</v>
      </c>
      <c r="D13" s="21" t="n">
        <f aca="false">D5*Hypothèses!$E$27+Hypothèses!$E$28</f>
        <v>4890</v>
      </c>
      <c r="E13" s="21" t="n">
        <f aca="false">E5*Hypothèses!$E$27+Hypothèses!$E$28</f>
        <v>7759.5</v>
      </c>
      <c r="F13" s="21" t="n">
        <f aca="false">F5*Hypothèses!$E$27+Hypothèses!$E$28</f>
        <v>10537.725</v>
      </c>
      <c r="G13" s="21" t="n">
        <f aca="false">G5*Hypothèses!$E$27+Hypothèses!$E$28</f>
        <v>12965.74875</v>
      </c>
      <c r="H13" s="7"/>
      <c r="I13" s="7"/>
    </row>
    <row r="14" customFormat="false" ht="15" hidden="false" customHeight="false" outlineLevel="0" collapsed="false">
      <c r="A14" s="7" t="s">
        <v>145</v>
      </c>
      <c r="B14" s="7" t="s">
        <v>146</v>
      </c>
      <c r="C14" s="21" t="n">
        <f aca="false">C13</f>
        <v>2400</v>
      </c>
      <c r="D14" s="21" t="n">
        <f aca="false">C14+D13</f>
        <v>7290</v>
      </c>
      <c r="E14" s="21" t="n">
        <f aca="false">D14+E13</f>
        <v>15049.5</v>
      </c>
      <c r="F14" s="21" t="n">
        <f aca="false">E14+F13</f>
        <v>25587.225</v>
      </c>
      <c r="G14" s="21" t="n">
        <f aca="false">F14+G13</f>
        <v>38552.97375</v>
      </c>
      <c r="H14" s="7"/>
      <c r="I14" s="7"/>
    </row>
    <row r="15" customFormat="false" ht="15" hidden="false" customHeight="false" outlineLevel="0" collapsed="false">
      <c r="A15" s="2" t="s">
        <v>147</v>
      </c>
      <c r="B15" s="7" t="s">
        <v>148</v>
      </c>
      <c r="C15" s="12" t="n">
        <f aca="false">C13*Hypothèses!$E$17</f>
        <v>180000</v>
      </c>
      <c r="D15" s="12" t="n">
        <f aca="false">D13*Hypothèses!$E$17</f>
        <v>366750</v>
      </c>
      <c r="E15" s="12" t="n">
        <f aca="false">E13*Hypothèses!$E$17</f>
        <v>581962.5</v>
      </c>
      <c r="F15" s="12" t="n">
        <f aca="false">F13*Hypothèses!$E$17</f>
        <v>790329.375</v>
      </c>
      <c r="G15" s="12" t="n">
        <f aca="false">G13*Hypothèses!$E$17</f>
        <v>972431.15625</v>
      </c>
      <c r="H15" s="12" t="n">
        <f aca="false">SUM(C15:E15)</f>
        <v>1128712.5</v>
      </c>
      <c r="I15" s="12" t="n">
        <f aca="false">SUM(C15:G15)</f>
        <v>2891473.03125</v>
      </c>
    </row>
    <row r="16" customFormat="false" ht="15" hidden="false" customHeight="false" outlineLevel="0" collapsed="false">
      <c r="A16" s="2" t="s">
        <v>149</v>
      </c>
      <c r="B16" s="7" t="s">
        <v>150</v>
      </c>
      <c r="C16" s="12" t="n">
        <f aca="false">Hypothèses!$E$29*Hypothèses!$E$18</f>
        <v>15750</v>
      </c>
      <c r="D16" s="12" t="n">
        <f aca="false">Hypothèses!$E$29*Hypothèses!$E$18</f>
        <v>15750</v>
      </c>
      <c r="E16" s="12" t="n">
        <f aca="false">Hypothèses!$E$29*Hypothèses!$E$18</f>
        <v>15750</v>
      </c>
      <c r="F16" s="12" t="n">
        <f aca="false">Hypothèses!$E$29*Hypothèses!$E$18</f>
        <v>15750</v>
      </c>
      <c r="G16" s="12" t="n">
        <f aca="false">Hypothèses!$E$29*Hypothèses!$E$18</f>
        <v>15750</v>
      </c>
      <c r="H16" s="12" t="n">
        <f aca="false">SUM(C16:E16)</f>
        <v>47250</v>
      </c>
      <c r="I16" s="12" t="n">
        <f aca="false">SUM(C16:G16)</f>
        <v>78750</v>
      </c>
    </row>
    <row r="17" customFormat="false" ht="15" hidden="false" customHeight="false" outlineLevel="0" collapsed="false">
      <c r="A17" s="7" t="s">
        <v>151</v>
      </c>
      <c r="B17" s="7" t="s">
        <v>152</v>
      </c>
      <c r="C17" s="21" t="n">
        <f aca="false">ROUND(Hypothèses!$E$30*(1+Hypothèses!$E$31)^0,0)</f>
        <v>60</v>
      </c>
      <c r="D17" s="21" t="n">
        <f aca="false">ROUND(Hypothèses!$E$30*(1+Hypothèses!$E$31)^1,0)</f>
        <v>78</v>
      </c>
      <c r="E17" s="21" t="n">
        <f aca="false">ROUND(Hypothèses!$E$30*(1+Hypothèses!$E$31)^2,0)</f>
        <v>101</v>
      </c>
      <c r="F17" s="21" t="n">
        <f aca="false">ROUND(Hypothèses!$E$30*(1+Hypothèses!$E$31)^3,0)</f>
        <v>132</v>
      </c>
      <c r="G17" s="21" t="n">
        <f aca="false">ROUND(Hypothèses!$E$30*(1+Hypothèses!$E$31)^4,0)</f>
        <v>171</v>
      </c>
      <c r="H17" s="7"/>
      <c r="I17" s="7"/>
    </row>
    <row r="18" customFormat="false" ht="15" hidden="false" customHeight="false" outlineLevel="0" collapsed="false">
      <c r="A18" s="2" t="s">
        <v>153</v>
      </c>
      <c r="B18" s="7" t="s">
        <v>154</v>
      </c>
      <c r="C18" s="12" t="n">
        <f aca="false">12*C17*Hypothèses!$E$19</f>
        <v>72000</v>
      </c>
      <c r="D18" s="12" t="n">
        <f aca="false">12*D17*Hypothèses!$E$19</f>
        <v>93600</v>
      </c>
      <c r="E18" s="12" t="n">
        <f aca="false">12*E17*Hypothèses!$E$19</f>
        <v>121200</v>
      </c>
      <c r="F18" s="12" t="n">
        <f aca="false">12*F17*Hypothèses!$E$19</f>
        <v>158400</v>
      </c>
      <c r="G18" s="12" t="n">
        <f aca="false">12*G17*Hypothèses!$E$19</f>
        <v>205200</v>
      </c>
      <c r="H18" s="12" t="n">
        <f aca="false">SUM(C18:E18)</f>
        <v>286800</v>
      </c>
      <c r="I18" s="12" t="n">
        <f aca="false">SUM(C18:G18)</f>
        <v>650400</v>
      </c>
    </row>
    <row r="19" customFormat="false" ht="15" hidden="false" customHeight="false" outlineLevel="0" collapsed="false">
      <c r="A19" s="2" t="s">
        <v>155</v>
      </c>
      <c r="B19" s="7" t="s">
        <v>156</v>
      </c>
      <c r="C19" s="12" t="n">
        <f aca="false">(SUM($C15:C15)+SUM($C16:C16)+SUM($C18:C18))*Hypothèses!$E$37*Hypothèses!$E$40</f>
        <v>8032.5</v>
      </c>
      <c r="D19" s="12" t="n">
        <f aca="false">(SUM($C15:D15)+SUM($C16:D16)+SUM($C18:D18))*Hypothèses!$E$37*Hypothèses!$E$40</f>
        <v>22315.5</v>
      </c>
      <c r="E19" s="12" t="n">
        <f aca="false">(SUM($C15:E15)+SUM($C16:E16)+SUM($C18:E18))*Hypothèses!$E$37*Hypothèses!$E$40</f>
        <v>43882.875</v>
      </c>
      <c r="F19" s="12" t="n">
        <f aca="false">(SUM($C15:F15)+SUM($C16:F16)+SUM($C18:F18))*Hypothèses!$E$37*Hypothèses!$E$40</f>
        <v>72817.25625</v>
      </c>
      <c r="G19" s="12" t="n">
        <f aca="false">(SUM($C15:G15)+SUM($C16:G16)+SUM($C18:G18))*Hypothèses!$E$37*Hypothèses!$E$40</f>
        <v>108618.6909375</v>
      </c>
      <c r="H19" s="12" t="n">
        <f aca="false">SUM(C19:E19)</f>
        <v>74230.875</v>
      </c>
      <c r="I19" s="12" t="n">
        <f aca="false">SUM(C19:G19)</f>
        <v>255666.8221875</v>
      </c>
    </row>
    <row r="20" customFormat="false" ht="15" hidden="false" customHeight="false" outlineLevel="0" collapsed="false">
      <c r="A20" s="2" t="s">
        <v>157</v>
      </c>
      <c r="B20" s="7" t="s">
        <v>158</v>
      </c>
      <c r="C20" s="12" t="n">
        <f aca="false">C14*Hypothèses!$E$38*Hypothèses!$E$41*Hypothèses!$E$42+C10*Hypothèses!$E$43*Hypothèses!$E$44</f>
        <v>1380</v>
      </c>
      <c r="D20" s="12" t="n">
        <f aca="false">D14*Hypothèses!$E$38*Hypothèses!$E$41*Hypothèses!$E$42+D10*Hypothèses!$E$43*Hypothèses!$E$44</f>
        <v>3603</v>
      </c>
      <c r="E20" s="12" t="n">
        <f aca="false">E14*Hypothèses!$E$38*Hypothèses!$E$41*Hypothèses!$E$42+E10*Hypothèses!$E$43*Hypothèses!$E$44</f>
        <v>6589.65</v>
      </c>
      <c r="F20" s="12" t="n">
        <f aca="false">F14*Hypothèses!$E$38*Hypothèses!$E$41*Hypothèses!$E$42+F10*Hypothèses!$E$43*Hypothèses!$E$44</f>
        <v>10086.3075</v>
      </c>
      <c r="G20" s="12" t="n">
        <f aca="false">G14*Hypothèses!$E$38*Hypothèses!$E$41*Hypothèses!$E$42+G10*Hypothèses!$E$43*Hypothèses!$E$44</f>
        <v>13893.469125</v>
      </c>
      <c r="H20" s="12" t="n">
        <f aca="false">SUM(C20:E20)</f>
        <v>11572.65</v>
      </c>
      <c r="I20" s="12" t="n">
        <f aca="false">SUM(C20:G20)</f>
        <v>35552.426625</v>
      </c>
    </row>
    <row r="21" customFormat="false" ht="15" hidden="false" customHeight="false" outlineLevel="0" collapsed="false">
      <c r="A21" s="23" t="s">
        <v>159</v>
      </c>
      <c r="B21" s="23" t="s">
        <v>160</v>
      </c>
      <c r="C21" s="24" t="n">
        <f aca="false">C15+C16+C18+C19+C20</f>
        <v>277162.5</v>
      </c>
      <c r="D21" s="24" t="n">
        <f aca="false">D15+D16+D18+D19+D20</f>
        <v>502018.5</v>
      </c>
      <c r="E21" s="24" t="n">
        <f aca="false">E15+E16+E18+E19+E20</f>
        <v>769385.025</v>
      </c>
      <c r="F21" s="24" t="n">
        <f aca="false">F15+F16+F18+F19+F20</f>
        <v>1047382.93875</v>
      </c>
      <c r="G21" s="24" t="n">
        <f aca="false">G15+G16+G18+G19+G20</f>
        <v>1315893.3163125</v>
      </c>
      <c r="H21" s="24" t="n">
        <f aca="false">SUM(C21:E21)</f>
        <v>1548566.025</v>
      </c>
      <c r="I21" s="24" t="n">
        <f aca="false">SUM(C21:G21)</f>
        <v>3911842.2800625</v>
      </c>
    </row>
    <row r="22" customFormat="false" ht="15" hidden="false" customHeight="false" outlineLevel="0" collapsed="false">
      <c r="A22" s="14" t="s">
        <v>161</v>
      </c>
      <c r="B22" s="22"/>
      <c r="C22" s="15"/>
      <c r="D22" s="15"/>
      <c r="E22" s="15"/>
      <c r="F22" s="15"/>
      <c r="G22" s="15"/>
      <c r="H22" s="15"/>
      <c r="I22" s="15"/>
    </row>
    <row r="23" customFormat="false" ht="15" hidden="false" customHeight="false" outlineLevel="0" collapsed="false">
      <c r="A23" s="7" t="s">
        <v>162</v>
      </c>
      <c r="B23" s="7" t="s">
        <v>163</v>
      </c>
      <c r="C23" s="21" t="n">
        <f aca="false">ROUND(Hypothèses!$E$32*(1+Hypothèses!$E$33)^0,0)</f>
        <v>30</v>
      </c>
      <c r="D23" s="21" t="n">
        <f aca="false">ROUND(Hypothèses!$E$32*(1+Hypothèses!$E$33)^1,0)</f>
        <v>38</v>
      </c>
      <c r="E23" s="21" t="n">
        <f aca="false">ROUND(Hypothèses!$E$32*(1+Hypothèses!$E$33)^2,0)</f>
        <v>47</v>
      </c>
      <c r="F23" s="21" t="n">
        <f aca="false">ROUND(Hypothèses!$E$32*(1+Hypothèses!$E$33)^3,0)</f>
        <v>59</v>
      </c>
      <c r="G23" s="21" t="n">
        <f aca="false">ROUND(Hypothèses!$E$32*(1+Hypothèses!$E$33)^4,0)</f>
        <v>73</v>
      </c>
      <c r="H23" s="7"/>
      <c r="I23" s="7"/>
    </row>
    <row r="24" customFormat="false" ht="15" hidden="false" customHeight="false" outlineLevel="0" collapsed="false">
      <c r="A24" s="23" t="s">
        <v>164</v>
      </c>
      <c r="B24" s="23" t="s">
        <v>165</v>
      </c>
      <c r="C24" s="24" t="n">
        <f aca="false">C23*Hypothèses!$E$20</f>
        <v>45000</v>
      </c>
      <c r="D24" s="24" t="n">
        <f aca="false">D23*Hypothèses!$E$20</f>
        <v>57000</v>
      </c>
      <c r="E24" s="24" t="n">
        <f aca="false">E23*Hypothèses!$E$20</f>
        <v>70500</v>
      </c>
      <c r="F24" s="24" t="n">
        <f aca="false">F23*Hypothèses!$E$20</f>
        <v>88500</v>
      </c>
      <c r="G24" s="24" t="n">
        <f aca="false">G23*Hypothèses!$E$20</f>
        <v>109500</v>
      </c>
      <c r="H24" s="24" t="n">
        <f aca="false">SUM(C24:E24)</f>
        <v>172500</v>
      </c>
      <c r="I24" s="24" t="n">
        <f aca="false">SUM(C24:G24)</f>
        <v>370500</v>
      </c>
    </row>
    <row r="25" customFormat="false" ht="15" hidden="false" customHeight="false" outlineLevel="0" collapsed="false">
      <c r="A25" s="14" t="s">
        <v>166</v>
      </c>
      <c r="B25" s="22"/>
      <c r="C25" s="15"/>
      <c r="D25" s="15"/>
      <c r="E25" s="15"/>
      <c r="F25" s="15"/>
      <c r="G25" s="15"/>
      <c r="H25" s="15"/>
      <c r="I25" s="15"/>
    </row>
    <row r="26" customFormat="false" ht="15" hidden="false" customHeight="false" outlineLevel="0" collapsed="false">
      <c r="A26" s="23" t="s">
        <v>167</v>
      </c>
      <c r="B26" s="23" t="s">
        <v>168</v>
      </c>
      <c r="C26" s="24" t="n">
        <f aca="false">C5*Hypothèses!$E$34*Hypothèses!$E$21</f>
        <v>72000</v>
      </c>
      <c r="D26" s="24" t="n">
        <f aca="false">D5*Hypothèses!$E$34*Hypothèses!$E$21</f>
        <v>171600</v>
      </c>
      <c r="E26" s="24" t="n">
        <f aca="false">E5*Hypothèses!$E$34*Hypothèses!$E$21</f>
        <v>286380</v>
      </c>
      <c r="F26" s="24" t="n">
        <f aca="false">F5*Hypothèses!$E$34*Hypothèses!$E$21</f>
        <v>397509</v>
      </c>
      <c r="G26" s="24" t="n">
        <f aca="false">G5*Hypothèses!$E$34*Hypothèses!$E$21</f>
        <v>494629.95</v>
      </c>
      <c r="H26" s="24" t="n">
        <f aca="false">SUM(C26:E26)</f>
        <v>529980</v>
      </c>
      <c r="I26" s="24" t="n">
        <f aca="false">SUM(C26:G26)</f>
        <v>1422118.95</v>
      </c>
    </row>
    <row r="27" customFormat="false" ht="15" hidden="false" customHeight="false" outlineLevel="0" collapsed="false">
      <c r="A27" s="14" t="s">
        <v>169</v>
      </c>
      <c r="B27" s="22"/>
      <c r="C27" s="15"/>
      <c r="D27" s="15"/>
      <c r="E27" s="15"/>
      <c r="F27" s="15"/>
      <c r="G27" s="15"/>
      <c r="H27" s="15"/>
      <c r="I27" s="15"/>
    </row>
    <row r="28" customFormat="false" ht="15" hidden="false" customHeight="false" outlineLevel="0" collapsed="false">
      <c r="A28" s="23" t="s">
        <v>170</v>
      </c>
      <c r="B28" s="23" t="s">
        <v>171</v>
      </c>
      <c r="C28" s="24" t="n">
        <f aca="false">Hypothèses!B$51*(C5*Hypothèses!$E$35*Hypothèses!$E$22+Hypothèses!$E$36)</f>
        <v>0</v>
      </c>
      <c r="D28" s="24" t="n">
        <f aca="false">Hypothèses!C$51*(D5*Hypothèses!$E$35*Hypothèses!$E$22+Hypothèses!$E$36)</f>
        <v>0</v>
      </c>
      <c r="E28" s="24" t="n">
        <f aca="false">Hypothèses!D$51*(E5*Hypothèses!$E$35*Hypothèses!$E$22+Hypothèses!$E$36)</f>
        <v>211828</v>
      </c>
      <c r="F28" s="24" t="n">
        <f aca="false">Hypothèses!E$51*(F5*Hypothèses!$E$35*Hypothèses!$E$22+Hypothèses!$E$36)</f>
        <v>557010.8</v>
      </c>
      <c r="G28" s="24" t="n">
        <f aca="false">Hypothèses!F$51*(G5*Hypothèses!$E$35*Hypothèses!$E$22+Hypothèses!$E$36)</f>
        <v>1010333.91</v>
      </c>
      <c r="H28" s="24" t="n">
        <f aca="false">SUM(C28:E28)</f>
        <v>211828</v>
      </c>
      <c r="I28" s="24" t="n">
        <f aca="false">SUM(C28:G28)</f>
        <v>1779172.71</v>
      </c>
    </row>
    <row r="29" customFormat="false" ht="15" hidden="false" customHeight="false" outlineLevel="0" collapsed="false">
      <c r="A29" s="14" t="s">
        <v>172</v>
      </c>
      <c r="B29" s="22"/>
      <c r="C29" s="15"/>
      <c r="D29" s="15"/>
      <c r="E29" s="15"/>
      <c r="F29" s="15"/>
      <c r="G29" s="15"/>
      <c r="H29" s="15"/>
      <c r="I29" s="15"/>
    </row>
    <row r="30" customFormat="false" ht="15" hidden="false" customHeight="false" outlineLevel="0" collapsed="false">
      <c r="A30" s="25" t="s">
        <v>173</v>
      </c>
      <c r="B30" s="25" t="s">
        <v>174</v>
      </c>
      <c r="C30" s="26" t="n">
        <f aca="false">C11+C21+C24+C26+C28</f>
        <v>2331292.5</v>
      </c>
      <c r="D30" s="26" t="n">
        <f aca="false">D11+D21+D24+D26+D28</f>
        <v>4522775</v>
      </c>
      <c r="E30" s="26" t="n">
        <f aca="false">E11+E21+E24+E26+E28</f>
        <v>7077564.1</v>
      </c>
      <c r="F30" s="26" t="n">
        <f aca="false">F11+F21+F24+F26+F28</f>
        <v>9505091.83</v>
      </c>
      <c r="G30" s="26" t="n">
        <f aca="false">G11+G21+G24+G26+G28</f>
        <v>11685201.1765</v>
      </c>
      <c r="H30" s="26" t="n">
        <f aca="false">SUM(C30:E30)</f>
        <v>13931631.6</v>
      </c>
      <c r="I30" s="26" t="n">
        <f aca="false">SUM(C30:G30)</f>
        <v>35121924.6065</v>
      </c>
    </row>
    <row r="31" customFormat="false" ht="15" hidden="false" customHeight="false" outlineLevel="0" collapsed="false">
      <c r="A31" s="2" t="s">
        <v>175</v>
      </c>
      <c r="B31" s="7" t="s">
        <v>176</v>
      </c>
      <c r="C31" s="12" t="n">
        <f aca="false">-(C7+C8+C9)*Hypothèses!$E$45</f>
        <v>-527139</v>
      </c>
      <c r="D31" s="12" t="n">
        <f aca="false">-(D7+D8+D9)*Hypothèses!$E$45</f>
        <v>-1008946.95</v>
      </c>
      <c r="E31" s="12" t="n">
        <f aca="false">-(E7+E8+E9)*Hypothèses!$E$45</f>
        <v>-1507056.3225</v>
      </c>
      <c r="F31" s="12" t="n">
        <f aca="false">-(F7+F8+F9)*Hypothèses!$E$45</f>
        <v>-1926274.977375</v>
      </c>
      <c r="G31" s="12" t="n">
        <f aca="false">-(G7+G8+G9)*Hypothèses!$E$45</f>
        <v>-2255480.73755625</v>
      </c>
      <c r="H31" s="12" t="n">
        <f aca="false">SUM(C31:E31)</f>
        <v>-3043142.2725</v>
      </c>
      <c r="I31" s="12" t="n">
        <f aca="false">SUM(C31:G31)</f>
        <v>-7224897.98743125</v>
      </c>
    </row>
    <row r="32" customFormat="false" ht="15" hidden="false" customHeight="false" outlineLevel="0" collapsed="false">
      <c r="A32" s="2" t="s">
        <v>177</v>
      </c>
      <c r="B32" s="7" t="s">
        <v>178</v>
      </c>
      <c r="C32" s="12" t="n">
        <f aca="false">-C24*Hypothèses!$E$46</f>
        <v>-13500</v>
      </c>
      <c r="D32" s="12" t="n">
        <f aca="false">-D24*Hypothèses!$E$46</f>
        <v>-17100</v>
      </c>
      <c r="E32" s="12" t="n">
        <f aca="false">-E24*Hypothèses!$E$46</f>
        <v>-21150</v>
      </c>
      <c r="F32" s="12" t="n">
        <f aca="false">-F24*Hypothèses!$E$46</f>
        <v>-26550</v>
      </c>
      <c r="G32" s="12" t="n">
        <f aca="false">-G24*Hypothèses!$E$46</f>
        <v>-32850</v>
      </c>
      <c r="H32" s="12" t="n">
        <f aca="false">SUM(C32:E32)</f>
        <v>-51750</v>
      </c>
      <c r="I32" s="12" t="n">
        <f aca="false">SUM(C32:G32)</f>
        <v>-111150</v>
      </c>
    </row>
    <row r="33" customFormat="false" ht="15" hidden="false" customHeight="false" outlineLevel="0" collapsed="false">
      <c r="A33" s="2" t="s">
        <v>179</v>
      </c>
      <c r="B33" s="7" t="s">
        <v>180</v>
      </c>
      <c r="C33" s="12" t="n">
        <f aca="false">-C26*Hypothèses!$E$47</f>
        <v>-39600</v>
      </c>
      <c r="D33" s="12" t="n">
        <f aca="false">-D26*Hypothèses!$E$47</f>
        <v>-94380</v>
      </c>
      <c r="E33" s="12" t="n">
        <f aca="false">-E26*Hypothèses!$E$47</f>
        <v>-157509</v>
      </c>
      <c r="F33" s="12" t="n">
        <f aca="false">-F26*Hypothèses!$E$47</f>
        <v>-218629.95</v>
      </c>
      <c r="G33" s="12" t="n">
        <f aca="false">-G26*Hypothèses!$E$47</f>
        <v>-272046.4725</v>
      </c>
      <c r="H33" s="12" t="n">
        <f aca="false">SUM(C33:E33)</f>
        <v>-291489</v>
      </c>
      <c r="I33" s="12" t="n">
        <f aca="false">SUM(C33:G33)</f>
        <v>-782165.4225</v>
      </c>
    </row>
    <row r="34" customFormat="false" ht="15" hidden="false" customHeight="false" outlineLevel="0" collapsed="false">
      <c r="A34" s="2" t="s">
        <v>181</v>
      </c>
      <c r="B34" s="7" t="s">
        <v>182</v>
      </c>
      <c r="C34" s="12" t="n">
        <f aca="false">-C30*Hypothèses!$E$48</f>
        <v>-116564.625</v>
      </c>
      <c r="D34" s="12" t="n">
        <f aca="false">-D30*Hypothèses!$E$48</f>
        <v>-226138.75</v>
      </c>
      <c r="E34" s="12" t="n">
        <f aca="false">-E30*Hypothèses!$E$48</f>
        <v>-353878.205</v>
      </c>
      <c r="F34" s="12" t="n">
        <f aca="false">-F30*Hypothèses!$E$48</f>
        <v>-475254.5915</v>
      </c>
      <c r="G34" s="12" t="n">
        <f aca="false">-G30*Hypothèses!$E$48</f>
        <v>-584260.058825</v>
      </c>
      <c r="H34" s="12" t="n">
        <f aca="false">SUM(C34:E34)</f>
        <v>-696581.58</v>
      </c>
      <c r="I34" s="12" t="n">
        <f aca="false">SUM(C34:G34)</f>
        <v>-1756096.230325</v>
      </c>
    </row>
    <row r="35" customFormat="false" ht="15" hidden="false" customHeight="false" outlineLevel="0" collapsed="false">
      <c r="A35" s="25" t="s">
        <v>183</v>
      </c>
      <c r="B35" s="25" t="s">
        <v>184</v>
      </c>
      <c r="C35" s="26" t="n">
        <f aca="false">C30+SUM(C31:C34)</f>
        <v>1634488.875</v>
      </c>
      <c r="D35" s="26" t="n">
        <f aca="false">D30+SUM(D31:D34)</f>
        <v>3176209.3</v>
      </c>
      <c r="E35" s="26" t="n">
        <f aca="false">E30+SUM(E31:E34)</f>
        <v>5037970.5725</v>
      </c>
      <c r="F35" s="26" t="n">
        <f aca="false">F30+SUM(F31:F34)</f>
        <v>6858382.311125</v>
      </c>
      <c r="G35" s="26" t="n">
        <f aca="false">G30+SUM(G31:G34)</f>
        <v>8540563.90761875</v>
      </c>
      <c r="H35" s="26" t="n">
        <f aca="false">SUM(C35:E35)</f>
        <v>9848668.7475</v>
      </c>
      <c r="I35" s="26" t="n">
        <f aca="false">SUM(C35:G35)</f>
        <v>25247614.9662437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7" t="s">
        <v>185</v>
      </c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7" t="s">
        <v>186</v>
      </c>
      <c r="B38" s="2"/>
      <c r="C38" s="2"/>
      <c r="D38" s="2"/>
      <c r="E38" s="2"/>
      <c r="F38" s="2"/>
      <c r="G38" s="2"/>
      <c r="H38" s="2"/>
      <c r="I3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2026-10-07T02:28:39Z</dcterms:created>
  <dc:creator>openpyxl</dc:creator>
  <dc:description/>
  <dc:language>en-US</dc:language>
  <cp:lastModifiedBy/>
  <dcterms:modified xsi:type="dcterms:W3CDTF">2026-10-07T02:28:39Z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